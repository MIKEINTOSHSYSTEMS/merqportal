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Installed_Apps\wamp64\www\merq_timesheet\src\"/>
    </mc:Choice>
  </mc:AlternateContent>
  <xr:revisionPtr revIDLastSave="0" documentId="13_ncr:1_{24337D65-2F63-4C3C-94DC-9012D833A183}" xr6:coauthVersionLast="47" xr6:coauthVersionMax="47" xr10:uidLastSave="{00000000-0000-0000-0000-000000000000}"/>
  <bookViews>
    <workbookView xWindow="-103" yWindow="-103" windowWidth="33120" windowHeight="18000" tabRatio="500" xr2:uid="{00000000-000D-0000-FFFF-FFFF00000000}"/>
  </bookViews>
  <sheets>
    <sheet name="EMPLOYEE_MONTHLY_TIMESHEET" sheetId="1" r:id="rId1"/>
  </sheets>
  <calcPr calcId="191029"/>
</workbook>
</file>

<file path=xl/calcChain.xml><?xml version="1.0" encoding="utf-8"?>
<calcChain xmlns="http://schemas.openxmlformats.org/spreadsheetml/2006/main">
  <c r="AD7" i="1" l="1"/>
  <c r="AE7" i="1"/>
  <c r="AS3" i="1"/>
  <c r="D7" i="1" s="1"/>
  <c r="AT4" i="1"/>
  <c r="AH7" i="1" l="1"/>
  <c r="AG22" i="1"/>
  <c r="AF22" i="1"/>
  <c r="AE22" i="1"/>
  <c r="AD22" i="1"/>
  <c r="AC22" i="1"/>
  <c r="AB22" i="1"/>
  <c r="AA22" i="1"/>
  <c r="Z22" i="1"/>
  <c r="Y22" i="1"/>
  <c r="X22" i="1"/>
  <c r="W22" i="1"/>
  <c r="V22" i="1"/>
  <c r="U22" i="1"/>
  <c r="T22" i="1"/>
  <c r="S22" i="1"/>
  <c r="R22" i="1"/>
  <c r="Q22" i="1"/>
  <c r="P22" i="1"/>
  <c r="O22" i="1"/>
  <c r="N22" i="1"/>
  <c r="M22" i="1"/>
  <c r="L22" i="1"/>
  <c r="K22" i="1"/>
  <c r="J22" i="1"/>
  <c r="I22" i="1"/>
  <c r="H22" i="1"/>
  <c r="G22" i="1"/>
  <c r="F22" i="1"/>
  <c r="E22" i="1"/>
  <c r="D22" i="1"/>
  <c r="AH21" i="1"/>
  <c r="AL21" i="1" s="1"/>
  <c r="AH20" i="1"/>
  <c r="AL20" i="1" s="1"/>
  <c r="AH19" i="1"/>
  <c r="AL19" i="1" s="1"/>
  <c r="AH18" i="1"/>
  <c r="AH17" i="1"/>
  <c r="AL17" i="1" s="1"/>
  <c r="AH16" i="1"/>
  <c r="AL16" i="1" s="1"/>
  <c r="AG15" i="1"/>
  <c r="AF15" i="1"/>
  <c r="AE15" i="1"/>
  <c r="AD15" i="1"/>
  <c r="AC15" i="1"/>
  <c r="AB15" i="1"/>
  <c r="AA15" i="1"/>
  <c r="Z15" i="1"/>
  <c r="Y15" i="1"/>
  <c r="X15" i="1"/>
  <c r="W15" i="1"/>
  <c r="V15" i="1"/>
  <c r="U15" i="1"/>
  <c r="T15" i="1"/>
  <c r="S15" i="1"/>
  <c r="R15" i="1"/>
  <c r="Q15" i="1"/>
  <c r="P15" i="1"/>
  <c r="O15" i="1"/>
  <c r="N15" i="1"/>
  <c r="M15" i="1"/>
  <c r="L15" i="1"/>
  <c r="K15" i="1"/>
  <c r="J15" i="1"/>
  <c r="I15" i="1"/>
  <c r="H15" i="1"/>
  <c r="G15" i="1"/>
  <c r="F15" i="1"/>
  <c r="E15" i="1"/>
  <c r="D15" i="1"/>
  <c r="AH14" i="1"/>
  <c r="AL14" i="1" s="1"/>
  <c r="AH13" i="1"/>
  <c r="AK13" i="1" s="1"/>
  <c r="AH12" i="1"/>
  <c r="AK12" i="1" s="1"/>
  <c r="AH11" i="1"/>
  <c r="AH10" i="1"/>
  <c r="AL10" i="1" s="1"/>
  <c r="AH9" i="1"/>
  <c r="AL9" i="1" s="1"/>
  <c r="AH8" i="1"/>
  <c r="AS2" i="1"/>
  <c r="AT3" i="1" l="1"/>
  <c r="K23" i="1"/>
  <c r="S23" i="1"/>
  <c r="AA23" i="1"/>
  <c r="E23" i="1"/>
  <c r="M23" i="1"/>
  <c r="U23" i="1"/>
  <c r="F23" i="1"/>
  <c r="N23" i="1"/>
  <c r="V23" i="1"/>
  <c r="AD23" i="1"/>
  <c r="G23" i="1"/>
  <c r="O23" i="1"/>
  <c r="W23" i="1"/>
  <c r="AE23" i="1"/>
  <c r="AJ12" i="1"/>
  <c r="AH22" i="1"/>
  <c r="AJ13" i="1"/>
  <c r="I23" i="1"/>
  <c r="Q23" i="1"/>
  <c r="Y23" i="1"/>
  <c r="AG23" i="1"/>
  <c r="AC23" i="1"/>
  <c r="AL13" i="1"/>
  <c r="J23" i="1"/>
  <c r="R23" i="1"/>
  <c r="Z23" i="1"/>
  <c r="L23" i="1"/>
  <c r="T23" i="1"/>
  <c r="AB23" i="1"/>
  <c r="AI10" i="1"/>
  <c r="D23" i="1"/>
  <c r="AJ10" i="1"/>
  <c r="AI12" i="1"/>
  <c r="AK10" i="1"/>
  <c r="AL12" i="1"/>
  <c r="H23" i="1"/>
  <c r="P23" i="1"/>
  <c r="X23" i="1"/>
  <c r="AF23" i="1"/>
  <c r="AJ9" i="1"/>
  <c r="AI14" i="1"/>
  <c r="AT2" i="1"/>
  <c r="AK9" i="1"/>
  <c r="AJ14" i="1"/>
  <c r="AI9" i="1"/>
  <c r="AK14" i="1"/>
  <c r="AI13" i="1"/>
  <c r="AH15" i="1"/>
  <c r="AI15" i="1" s="1"/>
  <c r="AK11" i="1" l="1"/>
  <c r="AK8" i="1"/>
  <c r="AK15" i="1" s="1"/>
  <c r="E7" i="1"/>
  <c r="AH23" i="1"/>
  <c r="AL11" i="1" l="1"/>
  <c r="AI11" i="1"/>
  <c r="AJ11" i="1"/>
  <c r="AJ8" i="1"/>
  <c r="AL8" i="1"/>
  <c r="AI8" i="1"/>
  <c r="AL18" i="1"/>
  <c r="AL22" i="1" s="1"/>
  <c r="AJ15" i="1"/>
  <c r="F7" i="1"/>
  <c r="AL15" i="1" l="1"/>
  <c r="AL23" i="1" s="1"/>
  <c r="G7" i="1"/>
  <c r="H7" i="1" l="1"/>
  <c r="I7" i="1" l="1"/>
  <c r="J7" i="1" l="1"/>
  <c r="K7" i="1" l="1"/>
  <c r="L7" i="1" l="1"/>
  <c r="M7" i="1" l="1"/>
  <c r="N7" i="1" l="1"/>
  <c r="O7" i="1" l="1"/>
  <c r="P7" i="1" l="1"/>
  <c r="Q7" i="1" l="1"/>
  <c r="R7" i="1" l="1"/>
  <c r="S7" i="1" l="1"/>
  <c r="T7" i="1" l="1"/>
  <c r="U7" i="1" l="1"/>
  <c r="V7" i="1" l="1"/>
  <c r="W7" i="1" l="1"/>
  <c r="X7" i="1" l="1"/>
  <c r="Y7" i="1" l="1"/>
  <c r="Z7" i="1" l="1"/>
  <c r="AA7" i="1" l="1"/>
  <c r="AB7" i="1" l="1"/>
  <c r="AC7" i="1" l="1"/>
  <c r="AF7" i="1" l="1"/>
  <c r="AG7" i="1" l="1"/>
</calcChain>
</file>

<file path=xl/sharedStrings.xml><?xml version="1.0" encoding="utf-8"?>
<sst xmlns="http://schemas.openxmlformats.org/spreadsheetml/2006/main" count="66" uniqueCount="65">
  <si>
    <t/>
  </si>
  <si>
    <t>ወር:</t>
  </si>
  <si>
    <t>ግንቦት</t>
  </si>
  <si>
    <t>ዓመት:</t>
  </si>
  <si>
    <t>ፕሮጀክት ስም/መለያ</t>
  </si>
  <si>
    <t>% OF ቀጥታ</t>
  </si>
  <si>
    <t>% OF ጠቅላላ</t>
  </si>
  <si>
    <t>ቀጥታ</t>
  </si>
  <si>
    <t>TOTAL ቀጥታ</t>
  </si>
  <si>
    <t>ጠቅላላ ፈቃድ</t>
  </si>
  <si>
    <t>ጠቅላላ</t>
  </si>
  <si>
    <t>መስከረም</t>
  </si>
  <si>
    <t>ሰኞ</t>
  </si>
  <si>
    <t>2012</t>
  </si>
  <si>
    <t>ጥቅምት</t>
  </si>
  <si>
    <t>ማክሰኞ</t>
  </si>
  <si>
    <t>2013</t>
  </si>
  <si>
    <t>ኅዳር</t>
  </si>
  <si>
    <t>ረቡዕ</t>
  </si>
  <si>
    <t>2014</t>
  </si>
  <si>
    <t>ታኅሣሥ</t>
  </si>
  <si>
    <t>ሐሙስ</t>
  </si>
  <si>
    <t>2015</t>
  </si>
  <si>
    <t>ጥር</t>
  </si>
  <si>
    <t>ዓርብ</t>
  </si>
  <si>
    <t>2016</t>
  </si>
  <si>
    <t>የካቲት</t>
  </si>
  <si>
    <t>ቅዳሜ</t>
  </si>
  <si>
    <t>2017</t>
  </si>
  <si>
    <t>መጋቢት</t>
  </si>
  <si>
    <t>እሁድ</t>
  </si>
  <si>
    <t>2018</t>
  </si>
  <si>
    <t>ሚያዝያ</t>
  </si>
  <si>
    <t>2019</t>
  </si>
  <si>
    <t>2020</t>
  </si>
  <si>
    <t>ሰኔ</t>
  </si>
  <si>
    <t>2021</t>
  </si>
  <si>
    <t>ሐምሌ</t>
  </si>
  <si>
    <t>2022</t>
  </si>
  <si>
    <t>ነሐሴ</t>
  </si>
  <si>
    <t>ጳጉሜ</t>
  </si>
  <si>
    <t>እኔ፣ ከዚህ በላይ ያለው መረጃ እውነት መሆኑን፣ ከእውነታው በኋላ የሚወሰነው እና በእኔ በተከናወነው ትክክለኛ ስራ ላይ የተመሰረተ መሆኑን እገልጻለሁ። I, hereby declare that the foregoing information is true, is determined after the fact and is based on actual work performed by me.</t>
  </si>
  <si>
    <t>በዚህ ሠራተኛ የተከናወኑ ተግባራት የመጀመሪያ የእጅ ዕውቀት በዚህ ዘገባ በተሸፈነው ጊዜ ውስጥ የተከናወነው የእውነተኛ ሥራ አመላካች ግምት ግምትን እንደሚወክል ወስኛለሁ. I have first hand knowledge of the activities performed by this employee and have determined that the distribution of activity represents a reasonable after-the-fact estimate of the actual work performed by the employee during the period covered by this report.</t>
  </si>
  <si>
    <t>ሰራተኛ/አማካሪ የስራ ሪከርድ (በቀን ሰዓት) / Employee/Consultant Work Record (Hours per day)</t>
  </si>
  <si>
    <t>ቀን/Date</t>
  </si>
  <si>
    <t>የሱፐርቫይዘር ፊርማ / Supervisor's signature</t>
  </si>
  <si>
    <t xml:space="preserve">የሱፐርቫይዘር ስም እና ደረጃ / Supervisor's name and title </t>
  </si>
  <si>
    <t>የሰራተኛው ፊርማ / Employee Signature</t>
  </si>
  <si>
    <t>የእረፍት ጊዜ / VACATION</t>
  </si>
  <si>
    <t>የጤና እረፍት / SICK LEAVE</t>
  </si>
  <si>
    <t>በዓል / HOLIDAY</t>
  </si>
  <si>
    <t>የግል ፈቃድ / PERSONAL LEAVE</t>
  </si>
  <si>
    <t>የሐዘን እረፍት / BEREAVEMENT</t>
  </si>
  <si>
    <t>ሌሎች / Other</t>
  </si>
  <si>
    <t>ጠቅላላ ሰዓቶች / Total Hours</t>
  </si>
  <si>
    <t>የተመደበው ሰዓት / Hours Allocated</t>
  </si>
  <si>
    <t>እኩል የተመደበላቸው ቀናት / Equiv. Days Allocated</t>
  </si>
  <si>
    <t>ለኤሌክትሮኒካዊ ስሪት ስም ይተይቡ እና ጠንካራ ቅጂ ይመዝገቡ። / TYPE NAME FOR ELECTRONIC VERSION AND SIGN HARD COPY.</t>
  </si>
  <si>
    <t>ፈቃድ *</t>
  </si>
  <si>
    <t>ይህ የጊዜ ሰሌዳ የሚያገለገልዉ ለ</t>
  </si>
  <si>
    <t>ዓ.ም. ብቻ ነው።</t>
  </si>
  <si>
    <t xml:space="preserve">ለኤሌክትሮኒካዊ ስሪት ስም ይተይቡ እና ጠንካራ ቅጂ ይመዝገቡ። / TYPE NAME FOR ELECTRONIC VERSION AND SIGN HARD COPY.											</t>
  </si>
  <si>
    <t>የመርክ ኮንሱልታንሲ ኃ.የተ.የግ.ማ ሰራተኞች ወርሃዊ የስራ ሰዓት መከታተያ /MERQ Consultancy PLC Staff's Monthly Timesheet Tracker</t>
  </si>
  <si>
    <t>Powered By: ISDHU-V1.0</t>
  </si>
  <si>
    <t xml:space="preserve">የሰራተኛ/የአማካሪ ስም | Employee/Consultant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</si>
</sst>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_);_(* \(#,##0\);_(* \-??_);_(@_)"/>
    <numFmt numFmtId="165" formatCode="_(* #,##0.00_);_(* \(#,##0.00\);_(* \-??_);_(@_)"/>
    <numFmt numFmtId="166" formatCode="#,##0.0"/>
    <numFmt numFmtId="167" formatCode="0.0%"/>
    <numFmt numFmtId="168" formatCode="0.0"/>
    <numFmt numFmtId="169" formatCode="[$-409]mmmm\ d\,\ yyyy;@"/>
    <numFmt numFmtId="170" formatCode="d/m/yyyy"/>
  </numFmts>
  <fonts count="30" x14ac:knownFonts="1">
    <font>
      <sz val="11"/>
      <color rgb="FF000000"/>
      <name val="Arial"/>
      <charset val="1"/>
    </font>
    <font>
      <b/>
      <sz val="11"/>
      <color rgb="FF000000"/>
      <name val="Times New Roman"/>
      <family val="1"/>
    </font>
    <font>
      <sz val="11"/>
      <color rgb="FF000000"/>
      <name val="Times New Roman"/>
      <family val="1"/>
    </font>
    <font>
      <sz val="12"/>
      <color rgb="FF000000"/>
      <name val="Times New Roman"/>
      <family val="1"/>
    </font>
    <font>
      <b/>
      <sz val="14"/>
      <color rgb="FF000000"/>
      <name val="Times New Roman"/>
      <family val="1"/>
    </font>
    <font>
      <u/>
      <sz val="10"/>
      <color rgb="FF000000"/>
      <name val="Times New Roman"/>
      <family val="1"/>
    </font>
    <font>
      <b/>
      <sz val="14"/>
      <color rgb="FF000080"/>
      <name val="Times New Roman"/>
      <family val="1"/>
    </font>
    <font>
      <b/>
      <sz val="12"/>
      <color rgb="FF0000FF"/>
      <name val="Times New Roman"/>
      <family val="1"/>
    </font>
    <font>
      <sz val="9"/>
      <color rgb="FF000000"/>
      <name val="Times New Roman"/>
      <family val="1"/>
    </font>
    <font>
      <b/>
      <sz val="12"/>
      <color rgb="FF000000"/>
      <name val="Times New Roman"/>
      <family val="1"/>
    </font>
    <font>
      <b/>
      <sz val="9"/>
      <color rgb="FF000000"/>
      <name val="Times New Roman"/>
      <family val="1"/>
    </font>
    <font>
      <b/>
      <sz val="10"/>
      <color rgb="FF000000"/>
      <name val="Times New Roman"/>
      <family val="1"/>
    </font>
    <font>
      <b/>
      <sz val="10"/>
      <color rgb="FF0000FF"/>
      <name val="Times New Roman"/>
      <family val="1"/>
    </font>
    <font>
      <sz val="12"/>
      <color rgb="FF0000FF"/>
      <name val="Times New Roman"/>
      <family val="1"/>
    </font>
    <font>
      <sz val="3"/>
      <color rgb="FF000000"/>
      <name val="Times New Roman"/>
      <family val="1"/>
    </font>
    <font>
      <sz val="18"/>
      <color rgb="FF000080"/>
      <name val="Times New Roman"/>
      <family val="1"/>
    </font>
    <font>
      <sz val="18"/>
      <color rgb="FF000000"/>
      <name val="Times New Roman"/>
      <family val="1"/>
    </font>
    <font>
      <sz val="10"/>
      <color rgb="FF000000"/>
      <name val="Times New Roman"/>
      <family val="1"/>
    </font>
    <font>
      <i/>
      <sz val="9"/>
      <color rgb="FF000000"/>
      <name val="Times New Roman"/>
      <family val="1"/>
    </font>
    <font>
      <b/>
      <sz val="22"/>
      <color rgb="FF0000FF"/>
      <name val="Times New Roman"/>
      <family val="1"/>
    </font>
    <font>
      <b/>
      <sz val="18"/>
      <color rgb="FF000080"/>
      <name val="Vladimir Script"/>
      <family val="4"/>
    </font>
    <font>
      <b/>
      <sz val="11"/>
      <color theme="0" tint="-4.9989318521683403E-2"/>
      <name val="Times New Roman"/>
      <family val="1"/>
    </font>
    <font>
      <b/>
      <u/>
      <sz val="14"/>
      <color rgb="FF002060"/>
      <name val="Times New Roman"/>
      <family val="1"/>
    </font>
    <font>
      <b/>
      <sz val="9"/>
      <color theme="5"/>
      <name val="Times New Roman"/>
      <family val="1"/>
    </font>
    <font>
      <b/>
      <sz val="14"/>
      <color rgb="FF002060"/>
      <name val="Times New Roman"/>
      <family val="1"/>
    </font>
    <font>
      <b/>
      <sz val="8"/>
      <color rgb="FF000000"/>
      <name val="Times New Roman"/>
      <family val="1"/>
    </font>
    <font>
      <b/>
      <sz val="8"/>
      <color theme="2" tint="-0.249977111117893"/>
      <name val="Times New Roman"/>
      <family val="1"/>
    </font>
    <font>
      <b/>
      <sz val="12"/>
      <color theme="5" tint="0.79998168889431442"/>
      <name val="Times New Roman"/>
      <family val="1"/>
    </font>
    <font>
      <b/>
      <u val="double"/>
      <sz val="16"/>
      <color rgb="FF002060"/>
      <name val="Times New Roman"/>
      <family val="1"/>
    </font>
    <font>
      <u val="double"/>
      <sz val="11"/>
      <color rgb="FF002060"/>
      <name val="Arial"/>
      <family val="2"/>
    </font>
  </fonts>
  <fills count="7">
    <fill>
      <patternFill patternType="none"/>
    </fill>
    <fill>
      <patternFill patternType="gray125"/>
    </fill>
    <fill>
      <patternFill patternType="solid">
        <fgColor rgb="FFFFFF00"/>
        <bgColor rgb="FFFFFF00"/>
      </patternFill>
    </fill>
    <fill>
      <patternFill patternType="solid">
        <fgColor rgb="FFFFCC99"/>
        <bgColor rgb="FFC0C0C0"/>
      </patternFill>
    </fill>
    <fill>
      <patternFill patternType="solid">
        <fgColor rgb="FFC0C0C0"/>
        <bgColor rgb="FFCCCCFF"/>
      </patternFill>
    </fill>
    <fill>
      <patternFill patternType="solid">
        <fgColor theme="4" tint="0.79998168889431442"/>
        <bgColor indexed="64"/>
      </patternFill>
    </fill>
    <fill>
      <patternFill patternType="solid">
        <fgColor theme="0"/>
        <bgColor indexed="64"/>
      </patternFill>
    </fill>
  </fills>
  <borders count="52">
    <border>
      <left/>
      <right/>
      <top/>
      <bottom/>
      <diagonal/>
    </border>
    <border>
      <left style="double">
        <color auto="1"/>
      </left>
      <right/>
      <top style="double">
        <color auto="1"/>
      </top>
      <bottom/>
      <diagonal/>
    </border>
    <border>
      <left/>
      <right/>
      <top style="double">
        <color auto="1"/>
      </top>
      <bottom/>
      <diagonal/>
    </border>
    <border>
      <left style="thin">
        <color auto="1"/>
      </left>
      <right/>
      <top style="double">
        <color auto="1"/>
      </top>
      <bottom/>
      <diagonal/>
    </border>
    <border>
      <left/>
      <right style="double">
        <color auto="1"/>
      </right>
      <top style="double">
        <color auto="1"/>
      </top>
      <bottom/>
      <diagonal/>
    </border>
    <border>
      <left style="double">
        <color auto="1"/>
      </left>
      <right/>
      <top/>
      <bottom style="thin">
        <color auto="1"/>
      </bottom>
      <diagonal/>
    </border>
    <border>
      <left/>
      <right/>
      <top/>
      <bottom style="thin">
        <color auto="1"/>
      </bottom>
      <diagonal/>
    </border>
    <border>
      <left/>
      <right style="double">
        <color auto="1"/>
      </right>
      <top/>
      <bottom/>
      <diagonal/>
    </border>
    <border>
      <left style="double">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double">
        <color auto="1"/>
      </left>
      <right/>
      <top/>
      <bottom style="double">
        <color auto="1"/>
      </bottom>
      <diagonal/>
    </border>
    <border>
      <left/>
      <right style="thin">
        <color auto="1"/>
      </right>
      <top/>
      <bottom style="double">
        <color auto="1"/>
      </bottom>
      <diagonal/>
    </border>
    <border>
      <left/>
      <right/>
      <top/>
      <bottom style="double">
        <color auto="1"/>
      </bottom>
      <diagonal/>
    </border>
    <border>
      <left/>
      <right style="double">
        <color auto="1"/>
      </right>
      <top/>
      <bottom style="double">
        <color auto="1"/>
      </bottom>
      <diagonal/>
    </border>
    <border>
      <left style="double">
        <color auto="1"/>
      </left>
      <right style="hair">
        <color auto="1"/>
      </right>
      <top style="double">
        <color auto="1"/>
      </top>
      <bottom style="double">
        <color auto="1"/>
      </bottom>
      <diagonal/>
    </border>
    <border>
      <left style="hair">
        <color auto="1"/>
      </left>
      <right style="hair">
        <color auto="1"/>
      </right>
      <top style="double">
        <color auto="1"/>
      </top>
      <bottom style="double">
        <color auto="1"/>
      </bottom>
      <diagonal/>
    </border>
    <border>
      <left style="hair">
        <color auto="1"/>
      </left>
      <right style="double">
        <color auto="1"/>
      </right>
      <top style="double">
        <color auto="1"/>
      </top>
      <bottom style="double">
        <color auto="1"/>
      </bottom>
      <diagonal/>
    </border>
    <border>
      <left style="hair">
        <color auto="1"/>
      </left>
      <right style="hair">
        <color auto="1"/>
      </right>
      <top style="double">
        <color auto="1"/>
      </top>
      <bottom/>
      <diagonal/>
    </border>
    <border>
      <left style="double">
        <color auto="1"/>
      </left>
      <right style="thin">
        <color auto="1"/>
      </right>
      <top style="double">
        <color auto="1"/>
      </top>
      <bottom style="thin">
        <color auto="1"/>
      </bottom>
      <diagonal/>
    </border>
    <border>
      <left style="hair">
        <color auto="1"/>
      </left>
      <right style="hair">
        <color auto="1"/>
      </right>
      <top style="hair">
        <color auto="1"/>
      </top>
      <bottom style="hair">
        <color auto="1"/>
      </bottom>
      <diagonal/>
    </border>
    <border>
      <left style="hair">
        <color auto="1"/>
      </left>
      <right style="hair">
        <color auto="1"/>
      </right>
      <top style="double">
        <color auto="1"/>
      </top>
      <bottom style="hair">
        <color auto="1"/>
      </bottom>
      <diagonal/>
    </border>
    <border>
      <left style="hair">
        <color auto="1"/>
      </left>
      <right style="hair">
        <color auto="1"/>
      </right>
      <top/>
      <bottom style="hair">
        <color auto="1"/>
      </bottom>
      <diagonal/>
    </border>
    <border>
      <left style="hair">
        <color auto="1"/>
      </left>
      <right style="double">
        <color auto="1"/>
      </right>
      <top/>
      <bottom style="hair">
        <color auto="1"/>
      </bottom>
      <diagonal/>
    </border>
    <border>
      <left style="hair">
        <color auto="1"/>
      </left>
      <right style="double">
        <color auto="1"/>
      </right>
      <top style="hair">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double">
        <color auto="1"/>
      </right>
      <top style="thin">
        <color auto="1"/>
      </top>
      <bottom style="thin">
        <color auto="1"/>
      </bottom>
      <diagonal/>
    </border>
    <border>
      <left style="double">
        <color auto="1"/>
      </left>
      <right style="thin">
        <color auto="1"/>
      </right>
      <top style="thin">
        <color auto="1"/>
      </top>
      <bottom style="thin">
        <color auto="1"/>
      </bottom>
      <diagonal/>
    </border>
    <border>
      <left style="thin">
        <color auto="1"/>
      </left>
      <right style="hair">
        <color auto="1"/>
      </right>
      <top/>
      <bottom style="hair">
        <color auto="1"/>
      </bottom>
      <diagonal/>
    </border>
    <border>
      <left style="hair">
        <color auto="1"/>
      </left>
      <right/>
      <top style="thin">
        <color auto="1"/>
      </top>
      <bottom/>
      <diagonal/>
    </border>
    <border>
      <left/>
      <right style="hair">
        <color auto="1"/>
      </right>
      <top/>
      <bottom/>
      <diagonal/>
    </border>
    <border>
      <left style="hair">
        <color auto="1"/>
      </left>
      <right/>
      <top/>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double">
        <color auto="1"/>
      </left>
      <right style="thin">
        <color auto="1"/>
      </right>
      <top/>
      <bottom style="thin">
        <color auto="1"/>
      </bottom>
      <diagonal/>
    </border>
    <border>
      <left style="hair">
        <color auto="1"/>
      </left>
      <right/>
      <top/>
      <bottom style="thin">
        <color auto="1"/>
      </bottom>
      <diagonal/>
    </border>
    <border>
      <left/>
      <right style="hair">
        <color auto="1"/>
      </right>
      <top/>
      <bottom style="thin">
        <color auto="1"/>
      </bottom>
      <diagonal/>
    </border>
    <border>
      <left style="double">
        <color auto="1"/>
      </left>
      <right/>
      <top/>
      <bottom/>
      <diagonal/>
    </border>
    <border>
      <left/>
      <right style="double">
        <color auto="1"/>
      </right>
      <top style="thin">
        <color auto="1"/>
      </top>
      <bottom/>
      <diagonal/>
    </border>
    <border>
      <left/>
      <right/>
      <top style="thin">
        <color auto="1"/>
      </top>
      <bottom style="double">
        <color auto="1"/>
      </bottom>
      <diagonal/>
    </border>
    <border>
      <left/>
      <right style="thin">
        <color auto="1"/>
      </right>
      <top style="thin">
        <color auto="1"/>
      </top>
      <bottom style="double">
        <color auto="1"/>
      </bottom>
      <diagonal/>
    </border>
    <border>
      <left style="double">
        <color auto="1"/>
      </left>
      <right style="thin">
        <color auto="1"/>
      </right>
      <top/>
      <bottom/>
      <diagonal/>
    </border>
    <border>
      <left style="double">
        <color auto="1"/>
      </left>
      <right style="thin">
        <color auto="1"/>
      </right>
      <top/>
      <bottom style="double">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double">
        <color auto="1"/>
      </bottom>
      <diagonal/>
    </border>
  </borders>
  <cellStyleXfs count="1">
    <xf numFmtId="0" fontId="0" fillId="0" borderId="0"/>
  </cellStyleXfs>
  <cellXfs count="140">
    <xf numFmtId="0" fontId="0" fillId="0" borderId="0" xfId="0"/>
    <xf numFmtId="0" fontId="1" fillId="0" borderId="9" xfId="0" applyFont="1" applyBorder="1" applyAlignment="1">
      <alignment vertical="top"/>
    </xf>
    <xf numFmtId="0" fontId="2" fillId="0" borderId="9" xfId="0" applyFont="1" applyBorder="1" applyAlignment="1">
      <alignment vertical="top"/>
    </xf>
    <xf numFmtId="0" fontId="2" fillId="0" borderId="0" xfId="0" applyFont="1" applyAlignment="1">
      <alignment horizontal="center"/>
    </xf>
    <xf numFmtId="0" fontId="2" fillId="0" borderId="0" xfId="0" applyFont="1"/>
    <xf numFmtId="0" fontId="3" fillId="0" borderId="1" xfId="0" applyFont="1" applyBorder="1" applyAlignment="1">
      <alignment horizontal="center" vertical="top" wrapText="1"/>
    </xf>
    <xf numFmtId="0" fontId="3" fillId="0" borderId="2" xfId="0" applyFont="1" applyBorder="1" applyAlignment="1">
      <alignment vertical="top" wrapText="1"/>
    </xf>
    <xf numFmtId="0" fontId="2" fillId="0" borderId="2" xfId="0" applyFont="1" applyBorder="1"/>
    <xf numFmtId="0" fontId="3" fillId="0" borderId="2" xfId="0" applyFont="1" applyBorder="1" applyAlignment="1">
      <alignment vertical="top"/>
    </xf>
    <xf numFmtId="0" fontId="5" fillId="0" borderId="2" xfId="0" applyFont="1" applyBorder="1"/>
    <xf numFmtId="164" fontId="2" fillId="0" borderId="4" xfId="0" applyNumberFormat="1" applyFont="1" applyBorder="1"/>
    <xf numFmtId="0" fontId="2" fillId="0" borderId="5" xfId="0" applyFont="1" applyBorder="1" applyAlignment="1">
      <alignment horizontal="center" vertical="center"/>
    </xf>
    <xf numFmtId="0" fontId="2" fillId="0" borderId="6" xfId="0" applyFont="1" applyBorder="1" applyAlignment="1">
      <alignment vertical="top" wrapText="1"/>
    </xf>
    <xf numFmtId="0" fontId="2" fillId="0" borderId="6" xfId="0" applyFont="1" applyBorder="1" applyAlignment="1">
      <alignment vertical="top"/>
    </xf>
    <xf numFmtId="0" fontId="2" fillId="0" borderId="6" xfId="0" applyFont="1" applyBorder="1" applyAlignment="1">
      <alignment vertical="center"/>
    </xf>
    <xf numFmtId="0" fontId="2" fillId="0" borderId="0" xfId="0" applyFont="1" applyAlignment="1">
      <alignment vertical="top" wrapText="1"/>
    </xf>
    <xf numFmtId="0" fontId="2" fillId="0" borderId="0" xfId="0" applyFont="1" applyAlignment="1">
      <alignment vertical="center"/>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xf numFmtId="0" fontId="2" fillId="0" borderId="8" xfId="0" applyFont="1" applyBorder="1" applyAlignment="1">
      <alignment vertical="top"/>
    </xf>
    <xf numFmtId="0" fontId="3" fillId="0" borderId="9" xfId="0" applyFont="1" applyBorder="1" applyAlignment="1">
      <alignment wrapText="1"/>
    </xf>
    <xf numFmtId="0" fontId="2" fillId="2" borderId="0" xfId="0" applyFont="1" applyFill="1"/>
    <xf numFmtId="0" fontId="2" fillId="0" borderId="13" xfId="0" applyFont="1" applyBorder="1" applyAlignment="1">
      <alignment horizontal="center"/>
    </xf>
    <xf numFmtId="0" fontId="2" fillId="0" borderId="13" xfId="0" applyFont="1" applyBorder="1"/>
    <xf numFmtId="0" fontId="2" fillId="0" borderId="14" xfId="0" applyFont="1" applyBorder="1"/>
    <xf numFmtId="0" fontId="8"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10" fillId="0" borderId="16" xfId="0" applyFont="1" applyBorder="1" applyAlignment="1">
      <alignment horizontal="center" vertical="center" wrapText="1"/>
    </xf>
    <xf numFmtId="0" fontId="1" fillId="0" borderId="16" xfId="0" applyFont="1" applyBorder="1" applyAlignment="1">
      <alignment horizontal="center" vertical="center" wrapText="1"/>
    </xf>
    <xf numFmtId="0" fontId="11" fillId="0" borderId="16" xfId="0" applyFont="1" applyBorder="1" applyAlignment="1">
      <alignment horizontal="center" vertical="center" wrapText="1"/>
    </xf>
    <xf numFmtId="0" fontId="10" fillId="3" borderId="16" xfId="0" applyFont="1" applyFill="1" applyBorder="1" applyAlignment="1">
      <alignment horizontal="center" vertical="center" wrapText="1"/>
    </xf>
    <xf numFmtId="0" fontId="10" fillId="0" borderId="17" xfId="0" applyFont="1" applyBorder="1" applyAlignment="1">
      <alignment horizontal="center" vertical="center" wrapText="1"/>
    </xf>
    <xf numFmtId="165" fontId="1" fillId="0" borderId="18" xfId="0" applyNumberFormat="1" applyFont="1" applyBorder="1" applyAlignment="1">
      <alignment horizontal="center" wrapText="1"/>
    </xf>
    <xf numFmtId="0" fontId="12" fillId="0" borderId="20" xfId="0" applyFont="1" applyBorder="1" applyAlignment="1">
      <alignment horizontal="left" vertical="center" wrapText="1"/>
    </xf>
    <xf numFmtId="0" fontId="7" fillId="0" borderId="20" xfId="0" applyFont="1" applyBorder="1" applyAlignment="1">
      <alignment horizontal="center" vertical="center" wrapText="1"/>
    </xf>
    <xf numFmtId="0" fontId="9" fillId="0" borderId="21" xfId="0" applyFont="1" applyBorder="1" applyAlignment="1">
      <alignment horizontal="center" vertical="center" wrapText="1"/>
    </xf>
    <xf numFmtId="166" fontId="9" fillId="0" borderId="22" xfId="0" applyNumberFormat="1" applyFont="1" applyBorder="1" applyAlignment="1">
      <alignment horizontal="center" vertical="center" wrapText="1"/>
    </xf>
    <xf numFmtId="9" fontId="9" fillId="3" borderId="22" xfId="0" applyNumberFormat="1" applyFont="1" applyFill="1" applyBorder="1" applyAlignment="1">
      <alignment horizontal="center" vertical="center" wrapText="1"/>
    </xf>
    <xf numFmtId="167" fontId="9" fillId="0" borderId="23" xfId="0" applyNumberFormat="1" applyFont="1" applyBorder="1" applyAlignment="1">
      <alignment horizontal="center" vertical="center" wrapText="1"/>
    </xf>
    <xf numFmtId="168" fontId="7" fillId="0" borderId="20" xfId="0" applyNumberFormat="1" applyFont="1" applyBorder="1" applyAlignment="1">
      <alignment horizontal="center" vertical="center" wrapText="1"/>
    </xf>
    <xf numFmtId="168" fontId="9" fillId="0" borderId="20" xfId="0" applyNumberFormat="1" applyFont="1" applyBorder="1" applyAlignment="1">
      <alignment horizontal="center" vertical="center" wrapText="1"/>
    </xf>
    <xf numFmtId="166" fontId="9" fillId="0" borderId="20" xfId="0" applyNumberFormat="1" applyFont="1" applyBorder="1" applyAlignment="1">
      <alignment horizontal="center" vertical="center" wrapText="1"/>
    </xf>
    <xf numFmtId="9" fontId="9" fillId="3" borderId="20" xfId="0" applyNumberFormat="1" applyFont="1" applyFill="1" applyBorder="1" applyAlignment="1">
      <alignment horizontal="center" vertical="center" wrapText="1"/>
    </xf>
    <xf numFmtId="167" fontId="9" fillId="0" borderId="24" xfId="0" applyNumberFormat="1" applyFont="1" applyBorder="1" applyAlignment="1">
      <alignment horizontal="center" vertical="center" wrapText="1"/>
    </xf>
    <xf numFmtId="0" fontId="9" fillId="0" borderId="20" xfId="0" applyFont="1" applyBorder="1" applyAlignment="1">
      <alignment horizontal="center" vertical="center" wrapText="1"/>
    </xf>
    <xf numFmtId="167" fontId="9" fillId="3" borderId="20" xfId="0" applyNumberFormat="1" applyFont="1" applyFill="1" applyBorder="1" applyAlignment="1">
      <alignment horizontal="center" vertical="center" wrapText="1"/>
    </xf>
    <xf numFmtId="0" fontId="7" fillId="0" borderId="26" xfId="0" applyFont="1" applyBorder="1" applyAlignment="1">
      <alignment horizontal="left" vertical="center" wrapText="1"/>
    </xf>
    <xf numFmtId="0" fontId="9" fillId="0" borderId="27" xfId="0" applyFont="1" applyBorder="1" applyAlignment="1">
      <alignment horizontal="center" vertical="center" wrapText="1"/>
    </xf>
    <xf numFmtId="166" fontId="9" fillId="0" borderId="27" xfId="0" applyNumberFormat="1" applyFont="1" applyBorder="1" applyAlignment="1">
      <alignment horizontal="center" vertical="center" wrapText="1"/>
    </xf>
    <xf numFmtId="167" fontId="9" fillId="3" borderId="27" xfId="0" applyNumberFormat="1" applyFont="1" applyFill="1" applyBorder="1" applyAlignment="1">
      <alignment horizontal="center" vertical="center" wrapText="1"/>
    </xf>
    <xf numFmtId="0" fontId="10" fillId="0" borderId="28" xfId="0" applyFont="1" applyBorder="1" applyAlignment="1">
      <alignment horizontal="right" vertical="center" wrapText="1"/>
    </xf>
    <xf numFmtId="0" fontId="9" fillId="0" borderId="29" xfId="0" applyFont="1" applyBorder="1" applyAlignment="1">
      <alignment horizontal="center" vertical="center" wrapText="1"/>
    </xf>
    <xf numFmtId="166" fontId="9" fillId="0" borderId="29" xfId="0" applyNumberFormat="1" applyFont="1" applyBorder="1" applyAlignment="1">
      <alignment horizontal="center" vertical="center" wrapText="1"/>
    </xf>
    <xf numFmtId="167" fontId="9" fillId="3" borderId="29" xfId="0" applyNumberFormat="1" applyFont="1" applyFill="1" applyBorder="1" applyAlignment="1">
      <alignment horizontal="center" vertical="center" wrapText="1"/>
    </xf>
    <xf numFmtId="167" fontId="9" fillId="0" borderId="30" xfId="0" applyNumberFormat="1" applyFont="1" applyBorder="1" applyAlignment="1">
      <alignment horizontal="center" vertical="center" wrapText="1"/>
    </xf>
    <xf numFmtId="0" fontId="10" fillId="0" borderId="32" xfId="0" applyFont="1" applyBorder="1" applyAlignment="1">
      <alignment vertical="center" wrapText="1"/>
    </xf>
    <xf numFmtId="0" fontId="7" fillId="0" borderId="22" xfId="0" applyFont="1" applyBorder="1" applyAlignment="1">
      <alignment horizontal="center" vertical="center" wrapText="1"/>
    </xf>
    <xf numFmtId="0" fontId="9" fillId="0" borderId="22" xfId="0" applyFont="1" applyBorder="1" applyAlignment="1">
      <alignment horizontal="center" vertical="center" wrapText="1"/>
    </xf>
    <xf numFmtId="0" fontId="9" fillId="4" borderId="33" xfId="0" applyFont="1" applyFill="1" applyBorder="1" applyAlignment="1">
      <alignment horizontal="center" vertical="center" wrapText="1"/>
    </xf>
    <xf numFmtId="0" fontId="9" fillId="4" borderId="9" xfId="0" applyFont="1" applyFill="1" applyBorder="1" applyAlignment="1">
      <alignment horizontal="center" vertical="center" wrapText="1"/>
    </xf>
    <xf numFmtId="167" fontId="9" fillId="4" borderId="34" xfId="0" applyNumberFormat="1" applyFont="1" applyFill="1" applyBorder="1" applyAlignment="1">
      <alignment horizontal="center" vertical="center" wrapText="1"/>
    </xf>
    <xf numFmtId="0" fontId="10" fillId="0" borderId="25" xfId="0" applyFont="1" applyBorder="1" applyAlignment="1">
      <alignment vertical="center" wrapText="1"/>
    </xf>
    <xf numFmtId="0" fontId="9" fillId="4" borderId="35" xfId="0" applyFont="1" applyFill="1" applyBorder="1" applyAlignment="1">
      <alignment horizontal="center" vertical="center" wrapText="1"/>
    </xf>
    <xf numFmtId="0" fontId="9" fillId="4" borderId="0" xfId="0" applyFont="1" applyFill="1" applyAlignment="1">
      <alignment horizontal="center" vertical="center" wrapText="1"/>
    </xf>
    <xf numFmtId="0" fontId="10" fillId="0" borderId="36" xfId="0" applyFont="1" applyBorder="1" applyAlignment="1">
      <alignment vertical="center" wrapText="1"/>
    </xf>
    <xf numFmtId="0" fontId="7" fillId="0" borderId="37" xfId="0" applyFont="1" applyBorder="1" applyAlignment="1">
      <alignment horizontal="center" vertical="center" wrapText="1"/>
    </xf>
    <xf numFmtId="0" fontId="13" fillId="0" borderId="37" xfId="0" applyFont="1" applyBorder="1" applyAlignment="1">
      <alignment horizontal="center" vertical="center" wrapText="1"/>
    </xf>
    <xf numFmtId="0" fontId="9" fillId="0" borderId="37" xfId="0" applyFont="1" applyBorder="1" applyAlignment="1">
      <alignment horizontal="center" vertical="center" wrapText="1"/>
    </xf>
    <xf numFmtId="0" fontId="10" fillId="0" borderId="38" xfId="0" applyFont="1" applyBorder="1" applyAlignment="1">
      <alignment horizontal="right" vertical="center" wrapText="1"/>
    </xf>
    <xf numFmtId="0" fontId="9" fillId="0" borderId="39" xfId="0" applyFont="1" applyBorder="1" applyAlignment="1">
      <alignment horizontal="center" vertical="center" wrapText="1"/>
    </xf>
    <xf numFmtId="0" fontId="1" fillId="0" borderId="40" xfId="0" applyFont="1" applyBorder="1" applyAlignment="1">
      <alignment horizontal="left" vertical="center"/>
    </xf>
    <xf numFmtId="0" fontId="3" fillId="0" borderId="28" xfId="0" applyFont="1" applyBorder="1" applyAlignment="1">
      <alignment horizontal="center" vertical="center" wrapText="1"/>
    </xf>
    <xf numFmtId="0" fontId="9" fillId="4" borderId="41" xfId="0" applyFont="1" applyFill="1" applyBorder="1" applyAlignment="1">
      <alignment horizontal="center" vertical="center" wrapText="1"/>
    </xf>
    <xf numFmtId="0" fontId="9" fillId="4" borderId="6" xfId="0" applyFont="1" applyFill="1" applyBorder="1" applyAlignment="1">
      <alignment horizontal="center" vertical="center" wrapText="1"/>
    </xf>
    <xf numFmtId="167" fontId="9" fillId="4" borderId="42" xfId="0" applyNumberFormat="1" applyFont="1" applyFill="1" applyBorder="1" applyAlignment="1">
      <alignment horizontal="center" vertical="center" wrapText="1"/>
    </xf>
    <xf numFmtId="0" fontId="1" fillId="0" borderId="43" xfId="0" applyFont="1" applyBorder="1" applyAlignment="1">
      <alignment horizontal="left" vertical="center"/>
    </xf>
    <xf numFmtId="0" fontId="3" fillId="0" borderId="0" xfId="0" applyFont="1" applyAlignment="1">
      <alignment horizontal="center" vertical="center" wrapText="1"/>
    </xf>
    <xf numFmtId="0" fontId="9" fillId="0" borderId="0" xfId="0" applyFont="1" applyAlignment="1">
      <alignment horizontal="center" vertical="center" wrapText="1"/>
    </xf>
    <xf numFmtId="0" fontId="9" fillId="0" borderId="9" xfId="0" applyFont="1" applyBorder="1" applyAlignment="1">
      <alignment horizontal="center" vertical="center" wrapText="1"/>
    </xf>
    <xf numFmtId="167" fontId="9" fillId="0" borderId="9" xfId="0" applyNumberFormat="1" applyFont="1" applyBorder="1" applyAlignment="1">
      <alignment horizontal="center" vertical="center" wrapText="1"/>
    </xf>
    <xf numFmtId="167" fontId="9" fillId="0" borderId="44" xfId="0" applyNumberFormat="1" applyFont="1" applyBorder="1" applyAlignment="1">
      <alignment horizontal="center" vertical="center" wrapText="1"/>
    </xf>
    <xf numFmtId="167" fontId="9" fillId="0" borderId="0" xfId="0" applyNumberFormat="1" applyFont="1" applyAlignment="1">
      <alignment horizontal="center" vertical="center" wrapText="1"/>
    </xf>
    <xf numFmtId="167" fontId="9" fillId="0" borderId="7" xfId="0" applyNumberFormat="1" applyFont="1" applyBorder="1" applyAlignment="1">
      <alignment horizontal="center" vertical="center" wrapText="1"/>
    </xf>
    <xf numFmtId="0" fontId="14" fillId="0" borderId="0" xfId="0" applyFont="1" applyAlignment="1">
      <alignment vertical="top" wrapText="1"/>
    </xf>
    <xf numFmtId="0" fontId="15" fillId="0" borderId="0" xfId="0" applyFont="1"/>
    <xf numFmtId="0" fontId="17" fillId="0" borderId="43" xfId="0" applyFont="1" applyBorder="1" applyAlignment="1">
      <alignment horizontal="left" vertical="center"/>
    </xf>
    <xf numFmtId="0" fontId="2" fillId="0" borderId="0" xfId="0" applyFont="1" applyAlignment="1">
      <alignment vertical="center" wrapText="1"/>
    </xf>
    <xf numFmtId="0" fontId="17" fillId="0" borderId="0" xfId="0" applyFont="1" applyAlignment="1">
      <alignment vertical="center"/>
    </xf>
    <xf numFmtId="0" fontId="19" fillId="0" borderId="0" xfId="0" applyFont="1" applyAlignment="1">
      <alignment horizontal="center"/>
    </xf>
    <xf numFmtId="0" fontId="17" fillId="0" borderId="0" xfId="0" applyFont="1"/>
    <xf numFmtId="0" fontId="8" fillId="0" borderId="1" xfId="0" applyFont="1" applyBorder="1" applyAlignment="1">
      <alignment horizontal="center" wrapText="1"/>
    </xf>
    <xf numFmtId="0" fontId="9" fillId="0" borderId="18" xfId="0" applyFont="1" applyBorder="1" applyAlignment="1">
      <alignment horizontal="center" wrapText="1"/>
    </xf>
    <xf numFmtId="0" fontId="1" fillId="0" borderId="16" xfId="0" applyFont="1" applyBorder="1" applyAlignment="1">
      <alignment horizontal="center" wrapText="1"/>
    </xf>
    <xf numFmtId="0" fontId="11" fillId="0" borderId="16" xfId="0" applyFont="1" applyBorder="1" applyAlignment="1">
      <alignment horizontal="center" wrapText="1"/>
    </xf>
    <xf numFmtId="0" fontId="10" fillId="3" borderId="16" xfId="0" applyFont="1" applyFill="1" applyBorder="1" applyAlignment="1">
      <alignment horizontal="center" wrapText="1"/>
    </xf>
    <xf numFmtId="0" fontId="10" fillId="0" borderId="17" xfId="0" applyFont="1" applyBorder="1" applyAlignment="1">
      <alignment horizontal="center" wrapText="1"/>
    </xf>
    <xf numFmtId="170" fontId="1" fillId="0" borderId="16" xfId="0" applyNumberFormat="1" applyFont="1" applyBorder="1" applyAlignment="1">
      <alignment horizontal="center" vertical="center" textRotation="90" wrapText="1"/>
    </xf>
    <xf numFmtId="0" fontId="1" fillId="0" borderId="0" xfId="0" applyFont="1"/>
    <xf numFmtId="0" fontId="7" fillId="6" borderId="20" xfId="0" applyFont="1" applyFill="1" applyBorder="1" applyAlignment="1">
      <alignment horizontal="center" vertical="center" wrapText="1"/>
    </xf>
    <xf numFmtId="0" fontId="4" fillId="0" borderId="0" xfId="0" applyFont="1"/>
    <xf numFmtId="0" fontId="4" fillId="0" borderId="7" xfId="0" applyFont="1" applyBorder="1"/>
    <xf numFmtId="0" fontId="21" fillId="0" borderId="13" xfId="0" applyFont="1" applyBorder="1"/>
    <xf numFmtId="0" fontId="22" fillId="0" borderId="0" xfId="0" applyFont="1"/>
    <xf numFmtId="0" fontId="24" fillId="0" borderId="2" xfId="0" applyFont="1" applyBorder="1" applyAlignment="1">
      <alignment vertical="center"/>
    </xf>
    <xf numFmtId="0" fontId="3" fillId="0" borderId="3" xfId="0" applyFont="1" applyBorder="1"/>
    <xf numFmtId="0" fontId="0" fillId="0" borderId="2" xfId="0" applyBorder="1"/>
    <xf numFmtId="0" fontId="25" fillId="0" borderId="2" xfId="0" applyFont="1" applyBorder="1" applyAlignment="1">
      <alignment horizontal="right"/>
    </xf>
    <xf numFmtId="0" fontId="26" fillId="0" borderId="2" xfId="0" applyFont="1" applyBorder="1" applyAlignment="1">
      <alignment horizontal="right"/>
    </xf>
    <xf numFmtId="165" fontId="10" fillId="0" borderId="18" xfId="0" applyNumberFormat="1" applyFont="1" applyBorder="1" applyAlignment="1">
      <alignment horizontal="center" wrapText="1"/>
    </xf>
    <xf numFmtId="0" fontId="0" fillId="0" borderId="6" xfId="0" applyBorder="1"/>
    <xf numFmtId="0" fontId="27" fillId="4" borderId="0" xfId="0" applyFont="1" applyFill="1" applyAlignment="1">
      <alignment horizontal="center" vertical="center" wrapText="1"/>
    </xf>
    <xf numFmtId="0" fontId="23" fillId="0" borderId="11" xfId="0" applyFont="1" applyBorder="1" applyAlignment="1">
      <alignment horizontal="center" vertical="center" wrapText="1"/>
    </xf>
    <xf numFmtId="0" fontId="23" fillId="0" borderId="13" xfId="0" applyFont="1" applyBorder="1" applyAlignment="1">
      <alignment horizontal="center" vertical="center" wrapText="1"/>
    </xf>
    <xf numFmtId="0" fontId="20" fillId="0" borderId="5" xfId="0" applyFont="1" applyBorder="1" applyAlignment="1">
      <alignment horizontal="left"/>
    </xf>
    <xf numFmtId="0" fontId="0" fillId="0" borderId="6" xfId="0" applyBorder="1"/>
    <xf numFmtId="0" fontId="16" fillId="0" borderId="6" xfId="0" applyFont="1" applyBorder="1" applyAlignment="1">
      <alignment horizontal="left" vertical="top" wrapText="1"/>
    </xf>
    <xf numFmtId="0" fontId="7" fillId="5" borderId="10" xfId="0" applyFont="1" applyFill="1" applyBorder="1" applyAlignment="1">
      <alignment horizontal="center" vertical="center"/>
    </xf>
    <xf numFmtId="0" fontId="0" fillId="0" borderId="50" xfId="0" applyBorder="1"/>
    <xf numFmtId="0" fontId="0" fillId="0" borderId="49" xfId="0" applyBorder="1"/>
    <xf numFmtId="0" fontId="2" fillId="0" borderId="0" xfId="0" applyFont="1" applyAlignment="1">
      <alignment horizontal="left" vertical="top" wrapText="1"/>
    </xf>
    <xf numFmtId="0" fontId="2" fillId="0" borderId="0" xfId="0" applyFont="1"/>
    <xf numFmtId="0" fontId="1" fillId="0" borderId="10" xfId="0" applyFont="1" applyBorder="1" applyAlignment="1">
      <alignment horizontal="center" vertical="center"/>
    </xf>
    <xf numFmtId="169" fontId="2" fillId="0" borderId="6" xfId="0" applyNumberFormat="1" applyFont="1" applyBorder="1" applyAlignment="1">
      <alignment horizontal="center"/>
    </xf>
    <xf numFmtId="0" fontId="18" fillId="0" borderId="43" xfId="0" applyFont="1" applyBorder="1" applyAlignment="1">
      <alignment horizontal="center" vertical="center" wrapText="1"/>
    </xf>
    <xf numFmtId="0" fontId="18" fillId="0" borderId="0" xfId="0" applyFont="1" applyAlignment="1">
      <alignment horizontal="center" vertical="center" wrapText="1"/>
    </xf>
    <xf numFmtId="0" fontId="2" fillId="0" borderId="6" xfId="0" applyFont="1" applyBorder="1" applyAlignment="1">
      <alignment horizontal="left" vertical="top" wrapText="1"/>
    </xf>
    <xf numFmtId="0" fontId="1" fillId="0" borderId="51" xfId="0" applyFont="1" applyBorder="1" applyAlignment="1">
      <alignment horizontal="center" vertical="center"/>
    </xf>
    <xf numFmtId="0" fontId="0" fillId="0" borderId="46" xfId="0" applyBorder="1"/>
    <xf numFmtId="0" fontId="1" fillId="0" borderId="19" xfId="0" applyFont="1" applyBorder="1" applyAlignment="1">
      <alignment horizontal="center" vertical="center" textRotation="90" wrapText="1"/>
    </xf>
    <xf numFmtId="0" fontId="0" fillId="0" borderId="47" xfId="0" applyBorder="1"/>
    <xf numFmtId="0" fontId="0" fillId="0" borderId="40" xfId="0" applyBorder="1"/>
    <xf numFmtId="0" fontId="7" fillId="5" borderId="51" xfId="0" applyFont="1" applyFill="1" applyBorder="1" applyAlignment="1">
      <alignment horizontal="center" vertical="center"/>
    </xf>
    <xf numFmtId="0" fontId="0" fillId="0" borderId="45" xfId="0" applyBorder="1"/>
    <xf numFmtId="0" fontId="2" fillId="0" borderId="43" xfId="0" applyFont="1" applyBorder="1" applyAlignment="1">
      <alignment horizontal="left" vertical="top" wrapText="1"/>
    </xf>
    <xf numFmtId="0" fontId="0" fillId="0" borderId="43" xfId="0" applyBorder="1"/>
    <xf numFmtId="0" fontId="28" fillId="0" borderId="48" xfId="0" applyFont="1" applyBorder="1" applyAlignment="1">
      <alignment horizontal="left" vertical="center"/>
    </xf>
    <xf numFmtId="0" fontId="29" fillId="0" borderId="13" xfId="0" applyFont="1" applyBorder="1"/>
    <xf numFmtId="0" fontId="29" fillId="0" borderId="12" xfId="0" applyFont="1" applyBorder="1"/>
    <xf numFmtId="0" fontId="1" fillId="0" borderId="31" xfId="0" applyFont="1" applyBorder="1" applyAlignment="1">
      <alignment horizontal="center" vertical="center" textRotation="90" wrapText="1"/>
    </xf>
  </cellXfs>
  <cellStyles count="1">
    <cellStyle name="Normal" xfId="0" builtinId="0"/>
  </cellStyles>
  <dxfs count="1">
    <dxf>
      <fill>
        <patternFill>
          <bgColor rgb="FFEAF1D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AF1D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12807</xdr:colOff>
      <xdr:row>1</xdr:row>
      <xdr:rowOff>32015</xdr:rowOff>
    </xdr:from>
    <xdr:to>
      <xdr:col>2</xdr:col>
      <xdr:colOff>580420</xdr:colOff>
      <xdr:row>2</xdr:row>
      <xdr:rowOff>735900</xdr:rowOff>
    </xdr:to>
    <xdr:pic>
      <xdr:nvPicPr>
        <xdr:cNvPr id="2" name="image2.png" descr="unnamed">
          <a:extLst>
            <a:ext uri="{FF2B5EF4-FFF2-40B4-BE49-F238E27FC236}">
              <a16:creationId xmlns:a16="http://schemas.microsoft.com/office/drawing/2014/main" id="{C37496E8-CA96-481B-84A8-B08BA56F1709}"/>
            </a:ext>
          </a:extLst>
        </xdr:cNvPr>
        <xdr:cNvPicPr/>
      </xdr:nvPicPr>
      <xdr:blipFill>
        <a:blip xmlns:r="http://schemas.openxmlformats.org/officeDocument/2006/relationships" r:embed="rId1"/>
        <a:stretch/>
      </xdr:blipFill>
      <xdr:spPr>
        <a:xfrm>
          <a:off x="12807" y="211309"/>
          <a:ext cx="977428" cy="985633"/>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986"/>
  <sheetViews>
    <sheetView tabSelected="1" topLeftCell="B1" zoomScale="85" zoomScaleNormal="85" workbookViewId="0">
      <selection activeCell="K11" sqref="K11"/>
    </sheetView>
  </sheetViews>
  <sheetFormatPr defaultColWidth="12.640625" defaultRowHeight="14.15" x14ac:dyDescent="0.35"/>
  <cols>
    <col min="1" max="1" width="0.35546875" style="4" hidden="1" customWidth="1"/>
    <col min="2" max="2" width="5.35546875" style="4" customWidth="1"/>
    <col min="3" max="3" width="29.640625" style="4" customWidth="1"/>
    <col min="4" max="4" width="7.640625" style="4" customWidth="1"/>
    <col min="5" max="33" width="5.140625" style="4" customWidth="1"/>
    <col min="34" max="34" width="7.35546875" style="4" customWidth="1"/>
    <col min="35" max="35" width="9.7109375" style="4" customWidth="1"/>
    <col min="36" max="36" width="13.140625" style="4" customWidth="1"/>
    <col min="37" max="37" width="11.140625" style="4" customWidth="1"/>
    <col min="38" max="38" width="15.92578125" style="4" customWidth="1"/>
    <col min="39" max="39" width="3.2109375" style="4" hidden="1" customWidth="1"/>
    <col min="40" max="40" width="0.140625" style="4" hidden="1" customWidth="1"/>
    <col min="41" max="42" width="3.2109375" style="4" hidden="1" customWidth="1"/>
    <col min="43" max="43" width="1.92578125" style="4" hidden="1" customWidth="1"/>
    <col min="44" max="44" width="4.92578125" style="4" hidden="1" customWidth="1"/>
    <col min="45" max="45" width="5.640625" style="4" hidden="1" customWidth="1"/>
    <col min="46" max="46" width="6.85546875" style="4" hidden="1" customWidth="1"/>
    <col min="47" max="47" width="5.7109375" style="4" hidden="1" customWidth="1"/>
    <col min="48" max="48" width="7.5703125" style="4" hidden="1" customWidth="1"/>
    <col min="49" max="49" width="4.78515625" style="4" hidden="1" customWidth="1"/>
    <col min="50" max="50" width="11.85546875" style="4" customWidth="1"/>
    <col min="51" max="51" width="9" style="4" customWidth="1"/>
    <col min="52" max="52" width="5" style="4" customWidth="1"/>
    <col min="53" max="53" width="12.640625" style="4" customWidth="1"/>
    <col min="54" max="16384" width="12.640625" style="4"/>
  </cols>
  <sheetData>
    <row r="1" spans="2:46" ht="14.25" customHeight="1" thickBot="1" x14ac:dyDescent="0.4">
      <c r="B1" s="3"/>
    </row>
    <row r="2" spans="2:46" ht="22.5" customHeight="1" thickTop="1" x14ac:dyDescent="0.4">
      <c r="B2" s="5"/>
      <c r="C2" s="6"/>
      <c r="D2" s="6"/>
      <c r="E2" s="6"/>
      <c r="F2" s="6"/>
      <c r="G2" s="6"/>
      <c r="H2" s="6"/>
      <c r="I2" s="6"/>
      <c r="J2" s="6"/>
      <c r="K2" s="6"/>
      <c r="L2" s="104" t="s">
        <v>62</v>
      </c>
      <c r="M2" s="104"/>
      <c r="N2" s="7"/>
      <c r="O2" s="7"/>
      <c r="P2" s="7"/>
      <c r="Q2" s="7"/>
      <c r="R2" s="7"/>
      <c r="S2" s="7"/>
      <c r="T2" s="8"/>
      <c r="U2" s="6"/>
      <c r="V2" s="6"/>
      <c r="W2" s="6"/>
      <c r="X2" s="6"/>
      <c r="Y2" s="6"/>
      <c r="Z2" s="6"/>
      <c r="AA2" s="6"/>
      <c r="AB2" s="6"/>
      <c r="AC2" s="105"/>
      <c r="AD2" s="106"/>
      <c r="AE2" s="9"/>
      <c r="AF2" s="9"/>
      <c r="AG2" s="9"/>
      <c r="AH2" s="7"/>
      <c r="AI2" s="7"/>
      <c r="AJ2" s="107"/>
      <c r="AK2" s="108" t="s">
        <v>63</v>
      </c>
      <c r="AL2" s="10"/>
      <c r="AS2" s="7">
        <f>X5</f>
        <v>0</v>
      </c>
      <c r="AT2" s="10" t="e">
        <f>IF(AS3=13,AS2+1,AS2)</f>
        <v>#N/A</v>
      </c>
    </row>
    <row r="3" spans="2:46" ht="58.3" customHeight="1" x14ac:dyDescent="0.4">
      <c r="B3" s="11"/>
      <c r="C3" s="12"/>
      <c r="D3" s="12"/>
      <c r="E3" s="12"/>
      <c r="F3" s="12"/>
      <c r="G3" s="12"/>
      <c r="H3" s="12"/>
      <c r="I3" s="12"/>
      <c r="J3" s="14" t="s">
        <v>43</v>
      </c>
      <c r="K3" s="12"/>
      <c r="L3" s="13"/>
      <c r="N3" s="12"/>
      <c r="O3" s="12"/>
      <c r="P3" s="12"/>
      <c r="Q3" s="12"/>
      <c r="R3" s="12"/>
      <c r="S3" s="12"/>
      <c r="T3" s="12"/>
      <c r="U3" s="12"/>
      <c r="V3" s="15"/>
      <c r="W3" s="15"/>
      <c r="Y3" s="16"/>
      <c r="Z3" s="17"/>
      <c r="AB3" s="17"/>
      <c r="AE3" s="18"/>
      <c r="AF3" s="100" t="s">
        <v>59</v>
      </c>
      <c r="AG3" s="98"/>
      <c r="AJ3" s="103"/>
      <c r="AK3" s="100" t="s">
        <v>60</v>
      </c>
      <c r="AL3" s="101"/>
      <c r="AS3" s="4" t="e">
        <f>MATCH(X4,AT45:AT57,0)</f>
        <v>#N/A</v>
      </c>
      <c r="AT3" s="19" t="e">
        <f>IF(AS3=13,1,AS3+1)</f>
        <v>#N/A</v>
      </c>
    </row>
    <row r="4" spans="2:46" ht="23.25" customHeight="1" x14ac:dyDescent="0.4">
      <c r="B4" s="20" t="s">
        <v>0</v>
      </c>
      <c r="C4" s="2"/>
      <c r="D4" s="1"/>
      <c r="E4" s="2"/>
      <c r="F4" s="2"/>
      <c r="G4" s="2"/>
      <c r="H4" s="2"/>
      <c r="I4" s="2"/>
      <c r="J4" s="2"/>
      <c r="K4" s="2"/>
      <c r="L4" s="21"/>
      <c r="M4" s="21"/>
      <c r="N4" s="21"/>
      <c r="O4" s="21"/>
      <c r="P4" s="21"/>
      <c r="Q4" s="21"/>
      <c r="R4" s="21"/>
      <c r="S4" s="21"/>
      <c r="T4" s="21"/>
      <c r="U4" s="21"/>
      <c r="V4" s="122" t="s">
        <v>1</v>
      </c>
      <c r="W4" s="119"/>
      <c r="X4" s="117"/>
      <c r="Y4" s="118"/>
      <c r="Z4" s="118"/>
      <c r="AA4" s="118"/>
      <c r="AB4" s="119"/>
      <c r="AE4" s="3"/>
      <c r="AF4" s="3"/>
      <c r="AG4" s="3"/>
      <c r="AL4" s="19"/>
      <c r="AS4" s="22">
        <v>1</v>
      </c>
      <c r="AT4" s="19">
        <f>AS4</f>
        <v>1</v>
      </c>
    </row>
    <row r="5" spans="2:46" ht="21.75" customHeight="1" thickBot="1" x14ac:dyDescent="0.4">
      <c r="B5" s="136" t="s">
        <v>64</v>
      </c>
      <c r="C5" s="137"/>
      <c r="D5" s="137"/>
      <c r="E5" s="137"/>
      <c r="F5" s="137"/>
      <c r="G5" s="137"/>
      <c r="H5" s="137"/>
      <c r="I5" s="137"/>
      <c r="J5" s="137"/>
      <c r="K5" s="137"/>
      <c r="L5" s="137"/>
      <c r="M5" s="137"/>
      <c r="N5" s="137"/>
      <c r="O5" s="137"/>
      <c r="P5" s="137"/>
      <c r="Q5" s="137"/>
      <c r="R5" s="137"/>
      <c r="S5" s="137"/>
      <c r="T5" s="137"/>
      <c r="U5" s="138"/>
      <c r="V5" s="127" t="s">
        <v>3</v>
      </c>
      <c r="W5" s="128"/>
      <c r="X5" s="132"/>
      <c r="Y5" s="133"/>
      <c r="Z5" s="133"/>
      <c r="AA5" s="133"/>
      <c r="AB5" s="128"/>
      <c r="AC5" s="102"/>
      <c r="AE5" s="23"/>
      <c r="AF5" s="23"/>
      <c r="AG5" s="23"/>
      <c r="AH5" s="24"/>
      <c r="AI5" s="24"/>
      <c r="AJ5" s="24"/>
      <c r="AK5" s="24"/>
      <c r="AL5" s="25"/>
    </row>
    <row r="6" spans="2:46" ht="62.25" customHeight="1" thickTop="1" thickBot="1" x14ac:dyDescent="0.4">
      <c r="B6" s="26"/>
      <c r="C6" s="27" t="s">
        <v>4</v>
      </c>
      <c r="D6" s="97"/>
      <c r="E6" s="97"/>
      <c r="F6" s="97"/>
      <c r="G6" s="97"/>
      <c r="H6" s="97"/>
      <c r="I6" s="97"/>
      <c r="J6" s="97"/>
      <c r="K6" s="97"/>
      <c r="L6" s="97"/>
      <c r="M6" s="97"/>
      <c r="N6" s="97"/>
      <c r="O6" s="97"/>
      <c r="P6" s="97"/>
      <c r="Q6" s="97"/>
      <c r="R6" s="97"/>
      <c r="S6" s="97"/>
      <c r="T6" s="97"/>
      <c r="U6" s="97"/>
      <c r="V6" s="97"/>
      <c r="W6" s="97"/>
      <c r="X6" s="97"/>
      <c r="Y6" s="97"/>
      <c r="Z6" s="97"/>
      <c r="AA6" s="97"/>
      <c r="AB6" s="97"/>
      <c r="AC6" s="97"/>
      <c r="AD6" s="97"/>
      <c r="AE6" s="97"/>
      <c r="AF6" s="97"/>
      <c r="AG6" s="97"/>
      <c r="AH6" s="28" t="s">
        <v>54</v>
      </c>
      <c r="AI6" s="29" t="s">
        <v>55</v>
      </c>
      <c r="AJ6" s="30" t="s">
        <v>56</v>
      </c>
      <c r="AK6" s="31" t="s">
        <v>5</v>
      </c>
      <c r="AL6" s="32" t="s">
        <v>6</v>
      </c>
    </row>
    <row r="7" spans="2:46" ht="27" customHeight="1" thickTop="1" thickBot="1" x14ac:dyDescent="0.4">
      <c r="B7" s="91"/>
      <c r="C7" s="92"/>
      <c r="D7" s="33" t="str">
        <f>IF(D6="", "", INDEX($AU$45:$AU$51, MOD(WEEKDAY(D6, 3), 7)+4))</f>
        <v/>
      </c>
      <c r="E7" s="33" t="str">
        <f>IF(E6="", "", INDEX($AU$45:$AU$51, MOD(WEEKDAY(E6, 3), 7)+4))</f>
        <v/>
      </c>
      <c r="F7" s="33" t="str">
        <f>IF(F6="", "", INDEX($AU$45:$AU$51, MOD(WEEKDAY(F6, 3), 7)+4))</f>
        <v/>
      </c>
      <c r="G7" s="33" t="str">
        <f>IF(G6="", "", INDEX($AU$45:$AU$51, MOD(WEEKDAY(G6, 3), 7)+4))</f>
        <v/>
      </c>
      <c r="H7" s="33" t="str">
        <f>IF(H6="", "", INDEX($AU$45:$AU$51, MOD(WEEKDAY(H6, 3), 7)-3))</f>
        <v/>
      </c>
      <c r="I7" s="33" t="str">
        <f>IF(I6="", "", INDEX($AU$45:$AU$51, MOD(WEEKDAY(I6, 3), 7)-3))</f>
        <v/>
      </c>
      <c r="J7" s="33" t="str">
        <f>IF(J6="", "", INDEX($AU$45:$AU$51, MOD(WEEKDAY(J6, 3), 7)-3))</f>
        <v/>
      </c>
      <c r="K7" s="33" t="str">
        <f>IF(K6="", "", INDEX($AU$45:$AU$51, MOD(WEEKDAY(K6, 3), 7)+4))</f>
        <v/>
      </c>
      <c r="L7" s="33" t="str">
        <f>IF(L6="", "", INDEX($AU$45:$AU$51, MOD(WEEKDAY(L6, 3), 7)+4))</f>
        <v/>
      </c>
      <c r="M7" s="33" t="str">
        <f>IF(M6="", "", INDEX($AU$45:$AU$51, MOD(WEEKDAY(M6, 3), 7)+4))</f>
        <v/>
      </c>
      <c r="N7" s="33" t="str">
        <f>IF(N6="", "", INDEX($AU$45:$AU$51, MOD(WEEKDAY(N6, 3), 7)+4))</f>
        <v/>
      </c>
      <c r="O7" s="33" t="str">
        <f>IF(O6="", "", INDEX($AU$45:$AU$51, MOD(WEEKDAY(O6, 3), 7)-3))</f>
        <v/>
      </c>
      <c r="P7" s="33" t="str">
        <f>IF(P6="", "", INDEX($AU$45:$AU$51, MOD(WEEKDAY(P6, 3), 7)-3))</f>
        <v/>
      </c>
      <c r="Q7" s="33" t="str">
        <f>IF(Q6="", "", INDEX($AU$45:$AU$51, MOD(WEEKDAY(Q6, 3), 7)-3))</f>
        <v/>
      </c>
      <c r="R7" s="33" t="str">
        <f>IF(R6="", "", INDEX($AU$45:$AU$51, MOD(WEEKDAY(R6, 3), 7)+4))</f>
        <v/>
      </c>
      <c r="S7" s="33" t="str">
        <f>IF(S6="", "", INDEX($AU$45:$AU$51, MOD(WEEKDAY(S6, 3), 7)+4))</f>
        <v/>
      </c>
      <c r="T7" s="33" t="str">
        <f>IF(T6="", "", INDEX($AU$45:$AU$51, MOD(WEEKDAY(T6, 3), 7)+4))</f>
        <v/>
      </c>
      <c r="U7" s="33" t="str">
        <f>IF(U6="", "", INDEX($AU$45:$AU$51, MOD(WEEKDAY(U6, 3), 7)+4))</f>
        <v/>
      </c>
      <c r="V7" s="33" t="str">
        <f>IF(V6="", "", INDEX($AU$45:$AU$51, MOD(WEEKDAY(V6, 3), 7)-3))</f>
        <v/>
      </c>
      <c r="W7" s="33" t="str">
        <f>IF(W6="", "", INDEX($AU$45:$AU$51, MOD(WEEKDAY(W6, 3), 7)-3))</f>
        <v/>
      </c>
      <c r="X7" s="33" t="str">
        <f>IF(X6="", "", INDEX($AU$45:$AU$51, MOD(WEEKDAY(X6, 3), 7)-3))</f>
        <v/>
      </c>
      <c r="Y7" s="33" t="str">
        <f>IF(Y6="", "", INDEX($AU$45:$AU$51, MOD(WEEKDAY(Y6, 3), 7)+4))</f>
        <v/>
      </c>
      <c r="Z7" s="33" t="str">
        <f>IF(Z6="", "", INDEX($AU$45:$AU$51, MOD(WEEKDAY(Z6, 3), 7)+4))</f>
        <v/>
      </c>
      <c r="AA7" s="33" t="str">
        <f>IF(AA6="", "", INDEX($AU$45:$AU$51, MOD(WEEKDAY(AA6, 3), 7)+4))</f>
        <v/>
      </c>
      <c r="AB7" s="33" t="str">
        <f>IF(AB6="", "", INDEX($AU$45:$AU$51, MOD(WEEKDAY(AB6, 3), 7)+4))</f>
        <v/>
      </c>
      <c r="AC7" s="33" t="str">
        <f>IF(AC6="", "", INDEX($AU$45:$AU$51, MOD(WEEKDAY(AC6, 3), 7)-3))</f>
        <v/>
      </c>
      <c r="AD7" s="33" t="str">
        <f>IF(AD6="", "", INDEX($AU$45:$AU$51, MOD(WEEKDAY(AD6, 3), 7)-3))</f>
        <v/>
      </c>
      <c r="AE7" s="33" t="str">
        <f>IF(AE6="", "", INDEX($AU$45:$AU$51, MOD(WEEKDAY(AE6, 3), 7)-3))</f>
        <v/>
      </c>
      <c r="AF7" s="33" t="str">
        <f>IF(AF6="", "", INDEX($AU$45:$AU$51, MOD(WEEKDAY(AF6, 3), 7)+4))</f>
        <v/>
      </c>
      <c r="AG7" s="33" t="str">
        <f>IF(AG6="", "", INDEX($AU$45:$AU$51, MOD(WEEKDAY(AG6, 3), 7)+4))</f>
        <v/>
      </c>
      <c r="AH7" s="109">
        <f>SUM(D7:AG7)</f>
        <v>0</v>
      </c>
      <c r="AI7" s="93"/>
      <c r="AJ7" s="94"/>
      <c r="AK7" s="95"/>
      <c r="AL7" s="96"/>
    </row>
    <row r="8" spans="2:46" ht="18" customHeight="1" thickTop="1" x14ac:dyDescent="0.35">
      <c r="B8" s="129" t="s">
        <v>7</v>
      </c>
      <c r="C8" s="34"/>
      <c r="D8" s="99">
        <v>0</v>
      </c>
      <c r="E8" s="35">
        <v>0</v>
      </c>
      <c r="F8" s="35">
        <v>0</v>
      </c>
      <c r="G8" s="35">
        <v>0</v>
      </c>
      <c r="H8" s="35">
        <v>0</v>
      </c>
      <c r="I8" s="35">
        <v>0</v>
      </c>
      <c r="J8" s="35">
        <v>0</v>
      </c>
      <c r="K8" s="35">
        <v>0</v>
      </c>
      <c r="L8" s="35">
        <v>0</v>
      </c>
      <c r="M8" s="35">
        <v>0</v>
      </c>
      <c r="N8" s="35">
        <v>0</v>
      </c>
      <c r="O8" s="35">
        <v>0</v>
      </c>
      <c r="P8" s="35">
        <v>0</v>
      </c>
      <c r="Q8" s="35">
        <v>0</v>
      </c>
      <c r="R8" s="35">
        <v>0</v>
      </c>
      <c r="S8" s="35">
        <v>0</v>
      </c>
      <c r="T8" s="35">
        <v>0</v>
      </c>
      <c r="U8" s="35">
        <v>0</v>
      </c>
      <c r="V8" s="35">
        <v>0</v>
      </c>
      <c r="W8" s="35">
        <v>0</v>
      </c>
      <c r="X8" s="35">
        <v>0</v>
      </c>
      <c r="Y8" s="35">
        <v>0</v>
      </c>
      <c r="Z8" s="35">
        <v>0</v>
      </c>
      <c r="AA8" s="35">
        <v>0</v>
      </c>
      <c r="AB8" s="35">
        <v>0</v>
      </c>
      <c r="AC8" s="35">
        <v>0</v>
      </c>
      <c r="AD8" s="35">
        <v>0</v>
      </c>
      <c r="AE8" s="35">
        <v>0</v>
      </c>
      <c r="AF8" s="35">
        <v>0</v>
      </c>
      <c r="AG8" s="35">
        <v>0</v>
      </c>
      <c r="AH8" s="36">
        <f t="shared" ref="AH8:AH23" si="0">SUM(D8:AG8)</f>
        <v>0</v>
      </c>
      <c r="AI8" s="37" t="str">
        <f>IF(AH15&lt;&gt;0,($AH$23*AK15)," ")</f>
        <v xml:space="preserve"> </v>
      </c>
      <c r="AJ8" s="37" t="str">
        <f>IF(AH15&lt;&gt;0,($AH$23*AK15)/8," ")</f>
        <v xml:space="preserve"> </v>
      </c>
      <c r="AK8" s="38" t="str">
        <f>IF(AH15=0," ",(AH15/$AH$15))</f>
        <v xml:space="preserve"> </v>
      </c>
      <c r="AL8" s="39" t="str">
        <f>IF(AH15=0," ",AH15/$AH$23)</f>
        <v xml:space="preserve"> </v>
      </c>
    </row>
    <row r="9" spans="2:46" ht="18" customHeight="1" x14ac:dyDescent="0.35">
      <c r="B9" s="130"/>
      <c r="C9" s="34"/>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1">
        <f t="shared" si="0"/>
        <v>0</v>
      </c>
      <c r="AI9" s="42" t="str">
        <f t="shared" ref="AI9:AI14" si="1">IF(AH9&lt;&gt;0,($AH$23*AK9)," ")</f>
        <v xml:space="preserve"> </v>
      </c>
      <c r="AJ9" s="42" t="str">
        <f t="shared" ref="AJ9:AJ14" si="2">IF(AH9&lt;&gt;0,($AH$23*AK9)/8," ")</f>
        <v xml:space="preserve"> </v>
      </c>
      <c r="AK9" s="43" t="str">
        <f t="shared" ref="AK9:AK14" si="3">IF(AH9=0," ",(AH9/$AH$15))</f>
        <v xml:space="preserve"> </v>
      </c>
      <c r="AL9" s="44" t="str">
        <f t="shared" ref="AL9:AL14" si="4">IF(AH9=0," ",AH9/$AH$23)</f>
        <v xml:space="preserve"> </v>
      </c>
    </row>
    <row r="10" spans="2:46" ht="18" customHeight="1" x14ac:dyDescent="0.35">
      <c r="B10" s="130"/>
      <c r="C10" s="34"/>
      <c r="D10" s="35"/>
      <c r="E10" s="40"/>
      <c r="F10" s="35"/>
      <c r="G10" s="40"/>
      <c r="H10" s="35"/>
      <c r="I10" s="35"/>
      <c r="J10" s="35"/>
      <c r="K10" s="40"/>
      <c r="L10" s="35"/>
      <c r="M10" s="35"/>
      <c r="N10" s="35"/>
      <c r="O10" s="35"/>
      <c r="P10" s="35"/>
      <c r="Q10" s="35"/>
      <c r="R10" s="35"/>
      <c r="S10" s="40"/>
      <c r="T10" s="40"/>
      <c r="U10" s="40"/>
      <c r="V10" s="40"/>
      <c r="W10" s="35"/>
      <c r="X10" s="35"/>
      <c r="Y10" s="35"/>
      <c r="Z10" s="35"/>
      <c r="AA10" s="35"/>
      <c r="AB10" s="35"/>
      <c r="AC10" s="35"/>
      <c r="AD10" s="35"/>
      <c r="AE10" s="35"/>
      <c r="AF10" s="35"/>
      <c r="AG10" s="35"/>
      <c r="AH10" s="45">
        <f t="shared" si="0"/>
        <v>0</v>
      </c>
      <c r="AI10" s="42" t="str">
        <f t="shared" si="1"/>
        <v xml:space="preserve"> </v>
      </c>
      <c r="AJ10" s="42" t="str">
        <f t="shared" si="2"/>
        <v xml:space="preserve"> </v>
      </c>
      <c r="AK10" s="46" t="str">
        <f t="shared" si="3"/>
        <v xml:space="preserve"> </v>
      </c>
      <c r="AL10" s="44" t="str">
        <f t="shared" si="4"/>
        <v xml:space="preserve"> </v>
      </c>
    </row>
    <row r="11" spans="2:46" ht="18" customHeight="1" x14ac:dyDescent="0.35">
      <c r="B11" s="130"/>
      <c r="C11" s="34"/>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45">
        <f t="shared" si="0"/>
        <v>0</v>
      </c>
      <c r="AI11" s="42" t="str">
        <f t="shared" si="1"/>
        <v xml:space="preserve"> </v>
      </c>
      <c r="AJ11" s="42" t="str">
        <f t="shared" si="2"/>
        <v xml:space="preserve"> </v>
      </c>
      <c r="AK11" s="46" t="str">
        <f t="shared" si="3"/>
        <v xml:space="preserve"> </v>
      </c>
      <c r="AL11" s="44" t="str">
        <f t="shared" si="4"/>
        <v xml:space="preserve"> </v>
      </c>
    </row>
    <row r="12" spans="2:46" ht="18" customHeight="1" x14ac:dyDescent="0.35">
      <c r="B12" s="130"/>
      <c r="C12" s="34"/>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45">
        <f t="shared" si="0"/>
        <v>0</v>
      </c>
      <c r="AI12" s="42" t="str">
        <f t="shared" si="1"/>
        <v xml:space="preserve"> </v>
      </c>
      <c r="AJ12" s="42" t="str">
        <f t="shared" si="2"/>
        <v xml:space="preserve"> </v>
      </c>
      <c r="AK12" s="46" t="str">
        <f t="shared" si="3"/>
        <v xml:space="preserve"> </v>
      </c>
      <c r="AL12" s="44" t="str">
        <f t="shared" si="4"/>
        <v xml:space="preserve"> </v>
      </c>
    </row>
    <row r="13" spans="2:46" ht="18" customHeight="1" x14ac:dyDescent="0.35">
      <c r="B13" s="130"/>
      <c r="C13" s="34"/>
      <c r="D13" s="35"/>
      <c r="E13" s="35"/>
      <c r="F13" s="35"/>
      <c r="G13" s="35"/>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45">
        <f t="shared" si="0"/>
        <v>0</v>
      </c>
      <c r="AI13" s="42" t="str">
        <f t="shared" si="1"/>
        <v xml:space="preserve"> </v>
      </c>
      <c r="AJ13" s="42" t="str">
        <f t="shared" si="2"/>
        <v xml:space="preserve"> </v>
      </c>
      <c r="AK13" s="46" t="str">
        <f t="shared" si="3"/>
        <v xml:space="preserve"> </v>
      </c>
      <c r="AL13" s="44" t="str">
        <f t="shared" si="4"/>
        <v xml:space="preserve"> </v>
      </c>
    </row>
    <row r="14" spans="2:46" ht="18" customHeight="1" x14ac:dyDescent="0.35">
      <c r="B14" s="130"/>
      <c r="C14" s="47"/>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48">
        <f t="shared" si="0"/>
        <v>0</v>
      </c>
      <c r="AI14" s="49" t="str">
        <f t="shared" si="1"/>
        <v xml:space="preserve"> </v>
      </c>
      <c r="AJ14" s="49" t="str">
        <f t="shared" si="2"/>
        <v xml:space="preserve"> </v>
      </c>
      <c r="AK14" s="50" t="str">
        <f t="shared" si="3"/>
        <v xml:space="preserve"> </v>
      </c>
      <c r="AL14" s="44" t="str">
        <f t="shared" si="4"/>
        <v xml:space="preserve"> </v>
      </c>
    </row>
    <row r="15" spans="2:46" ht="18" customHeight="1" x14ac:dyDescent="0.35">
      <c r="B15" s="131"/>
      <c r="C15" s="51" t="s">
        <v>8</v>
      </c>
      <c r="D15" s="52">
        <f t="shared" ref="D15:AG15" si="5">SUM(D8:D14)</f>
        <v>0</v>
      </c>
      <c r="E15" s="52">
        <f t="shared" si="5"/>
        <v>0</v>
      </c>
      <c r="F15" s="52">
        <f t="shared" si="5"/>
        <v>0</v>
      </c>
      <c r="G15" s="52">
        <f t="shared" si="5"/>
        <v>0</v>
      </c>
      <c r="H15" s="52">
        <f t="shared" si="5"/>
        <v>0</v>
      </c>
      <c r="I15" s="52">
        <f t="shared" si="5"/>
        <v>0</v>
      </c>
      <c r="J15" s="52">
        <f t="shared" si="5"/>
        <v>0</v>
      </c>
      <c r="K15" s="52">
        <f t="shared" si="5"/>
        <v>0</v>
      </c>
      <c r="L15" s="52">
        <f t="shared" si="5"/>
        <v>0</v>
      </c>
      <c r="M15" s="52">
        <f t="shared" si="5"/>
        <v>0</v>
      </c>
      <c r="N15" s="52">
        <f t="shared" si="5"/>
        <v>0</v>
      </c>
      <c r="O15" s="52">
        <f t="shared" si="5"/>
        <v>0</v>
      </c>
      <c r="P15" s="52">
        <f t="shared" si="5"/>
        <v>0</v>
      </c>
      <c r="Q15" s="52">
        <f t="shared" si="5"/>
        <v>0</v>
      </c>
      <c r="R15" s="52">
        <f t="shared" si="5"/>
        <v>0</v>
      </c>
      <c r="S15" s="52">
        <f t="shared" si="5"/>
        <v>0</v>
      </c>
      <c r="T15" s="52">
        <f t="shared" si="5"/>
        <v>0</v>
      </c>
      <c r="U15" s="52">
        <f t="shared" si="5"/>
        <v>0</v>
      </c>
      <c r="V15" s="52">
        <f t="shared" si="5"/>
        <v>0</v>
      </c>
      <c r="W15" s="52">
        <f t="shared" si="5"/>
        <v>0</v>
      </c>
      <c r="X15" s="52">
        <f t="shared" si="5"/>
        <v>0</v>
      </c>
      <c r="Y15" s="52">
        <f t="shared" si="5"/>
        <v>0</v>
      </c>
      <c r="Z15" s="52">
        <f t="shared" si="5"/>
        <v>0</v>
      </c>
      <c r="AA15" s="52">
        <f t="shared" si="5"/>
        <v>0</v>
      </c>
      <c r="AB15" s="52">
        <f t="shared" si="5"/>
        <v>0</v>
      </c>
      <c r="AC15" s="52">
        <f t="shared" si="5"/>
        <v>0</v>
      </c>
      <c r="AD15" s="52">
        <f t="shared" si="5"/>
        <v>0</v>
      </c>
      <c r="AE15" s="52">
        <f t="shared" si="5"/>
        <v>0</v>
      </c>
      <c r="AF15" s="52">
        <f t="shared" si="5"/>
        <v>0</v>
      </c>
      <c r="AG15" s="52">
        <f t="shared" si="5"/>
        <v>0</v>
      </c>
      <c r="AH15" s="52">
        <f t="shared" si="0"/>
        <v>0</v>
      </c>
      <c r="AI15" s="53">
        <f>(AH15)</f>
        <v>0</v>
      </c>
      <c r="AJ15" s="53">
        <f>SUM(AJ8:AJ14)</f>
        <v>0</v>
      </c>
      <c r="AK15" s="54">
        <f>SUM(AK8:AK14)</f>
        <v>0</v>
      </c>
      <c r="AL15" s="55">
        <f>SUM(AL8:AL14)</f>
        <v>0</v>
      </c>
    </row>
    <row r="16" spans="2:46" ht="18" customHeight="1" x14ac:dyDescent="0.35">
      <c r="B16" s="139" t="s">
        <v>58</v>
      </c>
      <c r="C16" s="56" t="s">
        <v>48</v>
      </c>
      <c r="D16" s="57"/>
      <c r="E16" s="57"/>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8">
        <f t="shared" si="0"/>
        <v>0</v>
      </c>
      <c r="AI16" s="59"/>
      <c r="AJ16" s="60"/>
      <c r="AK16" s="61"/>
      <c r="AL16" s="44" t="str">
        <f t="shared" ref="AL16:AL21" si="6">IF(AH16=0," ",AH16/$AH$23)</f>
        <v xml:space="preserve"> </v>
      </c>
    </row>
    <row r="17" spans="2:40" ht="18" customHeight="1" x14ac:dyDescent="0.35">
      <c r="B17" s="130"/>
      <c r="C17" s="62" t="s">
        <v>49</v>
      </c>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45">
        <f t="shared" si="0"/>
        <v>0</v>
      </c>
      <c r="AI17" s="63"/>
      <c r="AJ17" s="64"/>
      <c r="AK17" s="61"/>
      <c r="AL17" s="44" t="str">
        <f t="shared" si="6"/>
        <v xml:space="preserve"> </v>
      </c>
    </row>
    <row r="18" spans="2:40" ht="18" customHeight="1" x14ac:dyDescent="0.35">
      <c r="B18" s="130"/>
      <c r="C18" s="62" t="s">
        <v>50</v>
      </c>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45">
        <f t="shared" si="0"/>
        <v>0</v>
      </c>
      <c r="AI18" s="63"/>
      <c r="AJ18" s="64"/>
      <c r="AK18" s="61"/>
      <c r="AL18" s="44" t="str">
        <f t="shared" si="6"/>
        <v xml:space="preserve"> </v>
      </c>
    </row>
    <row r="19" spans="2:40" ht="18" customHeight="1" x14ac:dyDescent="0.35">
      <c r="B19" s="130"/>
      <c r="C19" s="62" t="s">
        <v>51</v>
      </c>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45">
        <f t="shared" si="0"/>
        <v>0</v>
      </c>
      <c r="AI19" s="63"/>
      <c r="AJ19" s="111"/>
      <c r="AK19" s="61"/>
      <c r="AL19" s="44" t="str">
        <f t="shared" si="6"/>
        <v xml:space="preserve"> </v>
      </c>
    </row>
    <row r="20" spans="2:40" ht="18" customHeight="1" x14ac:dyDescent="0.35">
      <c r="B20" s="130"/>
      <c r="C20" s="62" t="s">
        <v>52</v>
      </c>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45">
        <f t="shared" si="0"/>
        <v>0</v>
      </c>
      <c r="AI20" s="63"/>
      <c r="AJ20" s="64"/>
      <c r="AK20" s="61"/>
      <c r="AL20" s="44" t="str">
        <f t="shared" si="6"/>
        <v xml:space="preserve"> </v>
      </c>
    </row>
    <row r="21" spans="2:40" ht="18" customHeight="1" x14ac:dyDescent="0.35">
      <c r="B21" s="130"/>
      <c r="C21" s="65" t="s">
        <v>53</v>
      </c>
      <c r="D21" s="66"/>
      <c r="E21" s="67"/>
      <c r="F21" s="67"/>
      <c r="G21" s="66"/>
      <c r="H21" s="67"/>
      <c r="I21" s="67"/>
      <c r="J21" s="67"/>
      <c r="K21" s="67"/>
      <c r="L21" s="67"/>
      <c r="M21" s="67"/>
      <c r="N21" s="67"/>
      <c r="O21" s="67"/>
      <c r="P21" s="67"/>
      <c r="Q21" s="66"/>
      <c r="R21" s="66"/>
      <c r="S21" s="67"/>
      <c r="T21" s="67"/>
      <c r="U21" s="67"/>
      <c r="V21" s="67"/>
      <c r="W21" s="67"/>
      <c r="X21" s="67"/>
      <c r="Y21" s="67"/>
      <c r="Z21" s="67"/>
      <c r="AA21" s="67"/>
      <c r="AB21" s="66"/>
      <c r="AC21" s="67"/>
      <c r="AD21" s="67"/>
      <c r="AE21" s="67"/>
      <c r="AF21" s="67"/>
      <c r="AG21" s="67"/>
      <c r="AH21" s="68">
        <f t="shared" si="0"/>
        <v>0</v>
      </c>
      <c r="AI21" s="63"/>
      <c r="AJ21" s="64"/>
      <c r="AK21" s="61"/>
      <c r="AL21" s="44" t="str">
        <f t="shared" si="6"/>
        <v xml:space="preserve"> </v>
      </c>
    </row>
    <row r="22" spans="2:40" ht="18" customHeight="1" x14ac:dyDescent="0.35">
      <c r="B22" s="131"/>
      <c r="C22" s="69" t="s">
        <v>9</v>
      </c>
      <c r="D22" s="70">
        <f t="shared" ref="D22:AG22" si="7">SUM(D16:D21)</f>
        <v>0</v>
      </c>
      <c r="E22" s="70">
        <f t="shared" si="7"/>
        <v>0</v>
      </c>
      <c r="F22" s="70">
        <f t="shared" si="7"/>
        <v>0</v>
      </c>
      <c r="G22" s="70">
        <f t="shared" si="7"/>
        <v>0</v>
      </c>
      <c r="H22" s="70">
        <f t="shared" si="7"/>
        <v>0</v>
      </c>
      <c r="I22" s="70">
        <f t="shared" si="7"/>
        <v>0</v>
      </c>
      <c r="J22" s="70">
        <f t="shared" si="7"/>
        <v>0</v>
      </c>
      <c r="K22" s="70">
        <f t="shared" si="7"/>
        <v>0</v>
      </c>
      <c r="L22" s="70">
        <f t="shared" si="7"/>
        <v>0</v>
      </c>
      <c r="M22" s="70">
        <f t="shared" si="7"/>
        <v>0</v>
      </c>
      <c r="N22" s="70">
        <f t="shared" si="7"/>
        <v>0</v>
      </c>
      <c r="O22" s="70">
        <f t="shared" si="7"/>
        <v>0</v>
      </c>
      <c r="P22" s="70">
        <f t="shared" si="7"/>
        <v>0</v>
      </c>
      <c r="Q22" s="70">
        <f t="shared" si="7"/>
        <v>0</v>
      </c>
      <c r="R22" s="70">
        <f t="shared" si="7"/>
        <v>0</v>
      </c>
      <c r="S22" s="70">
        <f t="shared" si="7"/>
        <v>0</v>
      </c>
      <c r="T22" s="70">
        <f t="shared" si="7"/>
        <v>0</v>
      </c>
      <c r="U22" s="70">
        <f t="shared" si="7"/>
        <v>0</v>
      </c>
      <c r="V22" s="70">
        <f t="shared" si="7"/>
        <v>0</v>
      </c>
      <c r="W22" s="70">
        <f t="shared" si="7"/>
        <v>0</v>
      </c>
      <c r="X22" s="70">
        <f t="shared" si="7"/>
        <v>0</v>
      </c>
      <c r="Y22" s="70">
        <f t="shared" si="7"/>
        <v>0</v>
      </c>
      <c r="Z22" s="70">
        <f t="shared" si="7"/>
        <v>0</v>
      </c>
      <c r="AA22" s="70">
        <f t="shared" si="7"/>
        <v>0</v>
      </c>
      <c r="AB22" s="70">
        <f t="shared" si="7"/>
        <v>0</v>
      </c>
      <c r="AC22" s="70">
        <f t="shared" si="7"/>
        <v>0</v>
      </c>
      <c r="AD22" s="70">
        <f t="shared" si="7"/>
        <v>0</v>
      </c>
      <c r="AE22" s="70">
        <f t="shared" si="7"/>
        <v>0</v>
      </c>
      <c r="AF22" s="70">
        <f t="shared" si="7"/>
        <v>0</v>
      </c>
      <c r="AG22" s="70">
        <f t="shared" si="7"/>
        <v>0</v>
      </c>
      <c r="AH22" s="70">
        <f t="shared" si="0"/>
        <v>0</v>
      </c>
      <c r="AI22" s="63"/>
      <c r="AJ22" s="64"/>
      <c r="AK22" s="61"/>
      <c r="AL22" s="55">
        <f>SUM(AL16:AL21)</f>
        <v>0</v>
      </c>
    </row>
    <row r="23" spans="2:40" ht="18" customHeight="1" x14ac:dyDescent="0.35">
      <c r="B23" s="71" t="s">
        <v>10</v>
      </c>
      <c r="C23" s="72"/>
      <c r="D23" s="70">
        <f t="shared" ref="D23:AG23" si="8">D15+D22</f>
        <v>0</v>
      </c>
      <c r="E23" s="70">
        <f t="shared" si="8"/>
        <v>0</v>
      </c>
      <c r="F23" s="70">
        <f t="shared" si="8"/>
        <v>0</v>
      </c>
      <c r="G23" s="70">
        <f t="shared" si="8"/>
        <v>0</v>
      </c>
      <c r="H23" s="70">
        <f t="shared" si="8"/>
        <v>0</v>
      </c>
      <c r="I23" s="70">
        <f t="shared" si="8"/>
        <v>0</v>
      </c>
      <c r="J23" s="70">
        <f t="shared" si="8"/>
        <v>0</v>
      </c>
      <c r="K23" s="70">
        <f t="shared" si="8"/>
        <v>0</v>
      </c>
      <c r="L23" s="70">
        <f t="shared" si="8"/>
        <v>0</v>
      </c>
      <c r="M23" s="70">
        <f t="shared" si="8"/>
        <v>0</v>
      </c>
      <c r="N23" s="70">
        <f t="shared" si="8"/>
        <v>0</v>
      </c>
      <c r="O23" s="70">
        <f t="shared" si="8"/>
        <v>0</v>
      </c>
      <c r="P23" s="70">
        <f t="shared" si="8"/>
        <v>0</v>
      </c>
      <c r="Q23" s="70">
        <f t="shared" si="8"/>
        <v>0</v>
      </c>
      <c r="R23" s="70">
        <f t="shared" si="8"/>
        <v>0</v>
      </c>
      <c r="S23" s="70">
        <f t="shared" si="8"/>
        <v>0</v>
      </c>
      <c r="T23" s="70">
        <f t="shared" si="8"/>
        <v>0</v>
      </c>
      <c r="U23" s="70">
        <f t="shared" si="8"/>
        <v>0</v>
      </c>
      <c r="V23" s="70">
        <f t="shared" si="8"/>
        <v>0</v>
      </c>
      <c r="W23" s="70">
        <f t="shared" si="8"/>
        <v>0</v>
      </c>
      <c r="X23" s="70">
        <f t="shared" si="8"/>
        <v>0</v>
      </c>
      <c r="Y23" s="70">
        <f t="shared" si="8"/>
        <v>0</v>
      </c>
      <c r="Z23" s="70">
        <f t="shared" si="8"/>
        <v>0</v>
      </c>
      <c r="AA23" s="70">
        <f t="shared" si="8"/>
        <v>0</v>
      </c>
      <c r="AB23" s="70">
        <f t="shared" si="8"/>
        <v>0</v>
      </c>
      <c r="AC23" s="70">
        <f t="shared" si="8"/>
        <v>0</v>
      </c>
      <c r="AD23" s="70">
        <f t="shared" si="8"/>
        <v>0</v>
      </c>
      <c r="AE23" s="70">
        <f t="shared" si="8"/>
        <v>0</v>
      </c>
      <c r="AF23" s="70">
        <f t="shared" si="8"/>
        <v>0</v>
      </c>
      <c r="AG23" s="70">
        <f t="shared" si="8"/>
        <v>0</v>
      </c>
      <c r="AH23" s="70">
        <f t="shared" si="0"/>
        <v>0</v>
      </c>
      <c r="AI23" s="73"/>
      <c r="AJ23" s="74"/>
      <c r="AK23" s="75"/>
      <c r="AL23" s="55">
        <f>AL22+AL15</f>
        <v>0</v>
      </c>
    </row>
    <row r="24" spans="2:40" ht="18" customHeight="1" x14ac:dyDescent="0.35">
      <c r="B24" s="76"/>
      <c r="C24" s="77"/>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9"/>
      <c r="AI24" s="79"/>
      <c r="AJ24" s="79"/>
      <c r="AK24" s="80"/>
      <c r="AL24" s="81"/>
    </row>
    <row r="25" spans="2:40" ht="18" customHeight="1" x14ac:dyDescent="0.35">
      <c r="B25" s="76"/>
      <c r="C25" s="77"/>
      <c r="D25" s="78"/>
      <c r="E25" s="78"/>
      <c r="F25" s="7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82"/>
      <c r="AL25" s="83"/>
    </row>
    <row r="26" spans="2:40" ht="21.75" customHeight="1" x14ac:dyDescent="0.35">
      <c r="B26" s="134" t="s">
        <v>41</v>
      </c>
      <c r="C26" s="121"/>
      <c r="D26" s="121"/>
      <c r="E26" s="121"/>
      <c r="F26" s="121"/>
      <c r="G26" s="121"/>
      <c r="H26" s="121"/>
      <c r="I26" s="121"/>
      <c r="J26" s="121"/>
      <c r="K26" s="121"/>
      <c r="L26" s="121"/>
      <c r="M26" s="121"/>
      <c r="N26" s="15"/>
      <c r="O26" s="120" t="s">
        <v>42</v>
      </c>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9"/>
    </row>
    <row r="27" spans="2:40" ht="14.25" customHeight="1" x14ac:dyDescent="0.35">
      <c r="B27" s="135"/>
      <c r="C27" s="121"/>
      <c r="D27" s="121"/>
      <c r="E27" s="121"/>
      <c r="F27" s="121"/>
      <c r="G27" s="121"/>
      <c r="H27" s="121"/>
      <c r="I27" s="121"/>
      <c r="J27" s="121"/>
      <c r="K27" s="121"/>
      <c r="L27" s="121"/>
      <c r="M27" s="121"/>
      <c r="N27" s="15"/>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9"/>
    </row>
    <row r="28" spans="2:40" ht="7" customHeight="1" x14ac:dyDescent="0.35">
      <c r="B28" s="135"/>
      <c r="C28" s="121"/>
      <c r="D28" s="121"/>
      <c r="E28" s="121"/>
      <c r="F28" s="121"/>
      <c r="G28" s="121"/>
      <c r="H28" s="121"/>
      <c r="I28" s="121"/>
      <c r="J28" s="121"/>
      <c r="K28" s="121"/>
      <c r="L28" s="121"/>
      <c r="M28" s="121"/>
      <c r="N28" s="84"/>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9"/>
    </row>
    <row r="29" spans="2:40" ht="22.5" customHeight="1" x14ac:dyDescent="0.7">
      <c r="B29" s="114"/>
      <c r="C29" s="115"/>
      <c r="D29" s="115"/>
      <c r="E29" s="115"/>
      <c r="F29" s="115"/>
      <c r="G29" s="115"/>
      <c r="H29" s="115"/>
      <c r="I29" s="115"/>
      <c r="J29" s="85"/>
      <c r="K29" s="123"/>
      <c r="L29" s="115"/>
      <c r="M29" s="115"/>
      <c r="O29" s="116"/>
      <c r="P29" s="115"/>
      <c r="Q29" s="115"/>
      <c r="R29" s="115"/>
      <c r="S29" s="115"/>
      <c r="T29" s="115"/>
      <c r="U29" s="115"/>
      <c r="V29" s="115"/>
      <c r="W29" s="115"/>
      <c r="X29" s="115"/>
      <c r="Y29" s="115"/>
      <c r="Z29" s="115"/>
      <c r="AA29" s="115"/>
      <c r="AB29" s="115"/>
      <c r="AC29" s="115"/>
      <c r="AE29" s="126"/>
      <c r="AF29" s="115"/>
      <c r="AG29" s="115"/>
      <c r="AH29" s="115"/>
      <c r="AI29" s="115"/>
      <c r="AJ29" s="12"/>
      <c r="AK29" s="110"/>
      <c r="AL29" s="19"/>
      <c r="AM29" s="110"/>
      <c r="AN29" s="110"/>
    </row>
    <row r="30" spans="2:40" ht="18.75" customHeight="1" x14ac:dyDescent="0.35">
      <c r="B30" s="86" t="s">
        <v>47</v>
      </c>
      <c r="C30" s="16"/>
      <c r="D30" s="16"/>
      <c r="E30" s="16"/>
      <c r="F30" s="16"/>
      <c r="G30" s="16"/>
      <c r="H30" s="16"/>
      <c r="I30" s="87"/>
      <c r="J30" s="87"/>
      <c r="K30" s="16" t="s">
        <v>44</v>
      </c>
      <c r="L30" s="87"/>
      <c r="M30" s="87"/>
      <c r="N30" s="16"/>
      <c r="O30" s="16" t="s">
        <v>46</v>
      </c>
      <c r="P30" s="16"/>
      <c r="Q30" s="87"/>
      <c r="R30" s="87"/>
      <c r="S30" s="16"/>
      <c r="U30" s="87"/>
      <c r="V30" s="15"/>
      <c r="AE30" s="88" t="s">
        <v>45</v>
      </c>
      <c r="AH30" s="16"/>
      <c r="AK30" s="16" t="s">
        <v>44</v>
      </c>
      <c r="AL30" s="19"/>
    </row>
    <row r="31" spans="2:40" ht="37.299999999999997" customHeight="1" x14ac:dyDescent="0.35">
      <c r="B31" s="124" t="s">
        <v>57</v>
      </c>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L31" s="19"/>
    </row>
    <row r="32" spans="2:40" ht="18.45" customHeight="1" thickBot="1" x14ac:dyDescent="0.4">
      <c r="B32" s="112" t="s">
        <v>61</v>
      </c>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24"/>
      <c r="AC32" s="24"/>
      <c r="AD32" s="24"/>
      <c r="AE32" s="24"/>
      <c r="AF32" s="24"/>
      <c r="AG32" s="24"/>
      <c r="AH32" s="24"/>
      <c r="AI32" s="24"/>
      <c r="AJ32" s="24"/>
      <c r="AK32" s="24"/>
      <c r="AL32" s="25"/>
    </row>
    <row r="33" spans="2:48" ht="14.25" customHeight="1" thickTop="1" x14ac:dyDescent="0.35">
      <c r="B33" s="3"/>
    </row>
    <row r="34" spans="2:48" ht="14.25" customHeight="1" x14ac:dyDescent="0.35">
      <c r="B34" s="3"/>
    </row>
    <row r="35" spans="2:48" ht="14.25" customHeight="1" x14ac:dyDescent="0.35">
      <c r="B35" s="3"/>
    </row>
    <row r="36" spans="2:48" ht="14.25" customHeight="1" x14ac:dyDescent="0.35">
      <c r="B36" s="3"/>
    </row>
    <row r="37" spans="2:48" ht="14.25" customHeight="1" x14ac:dyDescent="0.35">
      <c r="B37" s="3"/>
    </row>
    <row r="38" spans="2:48" ht="14.25" customHeight="1" x14ac:dyDescent="0.35">
      <c r="B38" s="3"/>
    </row>
    <row r="39" spans="2:48" ht="11.25" customHeight="1" x14ac:dyDescent="0.6">
      <c r="B39" s="89"/>
    </row>
    <row r="40" spans="2:48" ht="14.25" customHeight="1" x14ac:dyDescent="0.35">
      <c r="B40" s="3"/>
    </row>
    <row r="41" spans="2:48" ht="14.25" customHeight="1" x14ac:dyDescent="0.35">
      <c r="B41" s="3"/>
    </row>
    <row r="42" spans="2:48" ht="14.25" customHeight="1" x14ac:dyDescent="0.35">
      <c r="B42" s="3"/>
    </row>
    <row r="43" spans="2:48" ht="14.25" customHeight="1" x14ac:dyDescent="0.35">
      <c r="B43" s="3"/>
    </row>
    <row r="44" spans="2:48" ht="14.25" customHeight="1" x14ac:dyDescent="0.35">
      <c r="B44" s="3"/>
    </row>
    <row r="45" spans="2:48" ht="14.25" customHeight="1" x14ac:dyDescent="0.35">
      <c r="B45" s="3"/>
      <c r="AT45" s="90" t="s">
        <v>11</v>
      </c>
      <c r="AU45" s="90" t="s">
        <v>12</v>
      </c>
      <c r="AV45" t="s">
        <v>13</v>
      </c>
    </row>
    <row r="46" spans="2:48" ht="14.25" customHeight="1" x14ac:dyDescent="0.35">
      <c r="B46" s="3"/>
      <c r="AT46" s="90" t="s">
        <v>14</v>
      </c>
      <c r="AU46" s="90" t="s">
        <v>15</v>
      </c>
      <c r="AV46" t="s">
        <v>16</v>
      </c>
    </row>
    <row r="47" spans="2:48" ht="14.25" customHeight="1" x14ac:dyDescent="0.35">
      <c r="B47" s="3"/>
      <c r="AT47" s="90" t="s">
        <v>17</v>
      </c>
      <c r="AU47" s="90" t="s">
        <v>18</v>
      </c>
      <c r="AV47" t="s">
        <v>19</v>
      </c>
    </row>
    <row r="48" spans="2:48" ht="14.25" customHeight="1" x14ac:dyDescent="0.35">
      <c r="B48" s="3"/>
      <c r="AT48" s="90" t="s">
        <v>20</v>
      </c>
      <c r="AU48" s="90" t="s">
        <v>21</v>
      </c>
      <c r="AV48" t="s">
        <v>22</v>
      </c>
    </row>
    <row r="49" spans="2:48" ht="14.25" customHeight="1" x14ac:dyDescent="0.35">
      <c r="B49" s="3"/>
      <c r="AT49" s="90" t="s">
        <v>23</v>
      </c>
      <c r="AU49" s="90" t="s">
        <v>24</v>
      </c>
      <c r="AV49" t="s">
        <v>25</v>
      </c>
    </row>
    <row r="50" spans="2:48" ht="14.25" customHeight="1" x14ac:dyDescent="0.35">
      <c r="B50" s="3"/>
      <c r="AT50" s="90" t="s">
        <v>26</v>
      </c>
      <c r="AU50" s="90" t="s">
        <v>27</v>
      </c>
      <c r="AV50" t="s">
        <v>28</v>
      </c>
    </row>
    <row r="51" spans="2:48" ht="14.25" customHeight="1" x14ac:dyDescent="0.35">
      <c r="B51" s="3"/>
      <c r="AT51" s="90" t="s">
        <v>29</v>
      </c>
      <c r="AU51" s="90" t="s">
        <v>30</v>
      </c>
      <c r="AV51" t="s">
        <v>31</v>
      </c>
    </row>
    <row r="52" spans="2:48" ht="14.25" customHeight="1" x14ac:dyDescent="0.35">
      <c r="B52" s="3"/>
      <c r="AT52" s="90" t="s">
        <v>32</v>
      </c>
      <c r="AV52" t="s">
        <v>33</v>
      </c>
    </row>
    <row r="53" spans="2:48" ht="14.25" customHeight="1" x14ac:dyDescent="0.35">
      <c r="B53" s="3"/>
      <c r="AT53" s="90" t="s">
        <v>2</v>
      </c>
      <c r="AV53" t="s">
        <v>34</v>
      </c>
    </row>
    <row r="54" spans="2:48" ht="14.25" customHeight="1" x14ac:dyDescent="0.35">
      <c r="B54" s="3"/>
      <c r="AT54" s="90" t="s">
        <v>35</v>
      </c>
      <c r="AV54" t="s">
        <v>36</v>
      </c>
    </row>
    <row r="55" spans="2:48" ht="14.25" customHeight="1" x14ac:dyDescent="0.35">
      <c r="B55" s="3"/>
      <c r="AT55" s="90" t="s">
        <v>37</v>
      </c>
      <c r="AV55" t="s">
        <v>38</v>
      </c>
    </row>
    <row r="56" spans="2:48" ht="14.25" customHeight="1" x14ac:dyDescent="0.35">
      <c r="B56" s="3"/>
      <c r="AT56" s="90" t="s">
        <v>39</v>
      </c>
    </row>
    <row r="57" spans="2:48" ht="14.25" customHeight="1" x14ac:dyDescent="0.35">
      <c r="B57" s="3"/>
      <c r="AT57" t="s">
        <v>40</v>
      </c>
    </row>
    <row r="58" spans="2:48" ht="14.25" customHeight="1" x14ac:dyDescent="0.35">
      <c r="B58" s="3"/>
    </row>
    <row r="59" spans="2:48" ht="14.25" customHeight="1" x14ac:dyDescent="0.35">
      <c r="B59" s="3"/>
    </row>
    <row r="60" spans="2:48" ht="14.25" customHeight="1" x14ac:dyDescent="0.35">
      <c r="B60" s="3"/>
    </row>
    <row r="61" spans="2:48" ht="14.25" customHeight="1" x14ac:dyDescent="0.35">
      <c r="B61" s="3"/>
    </row>
    <row r="62" spans="2:48" ht="14.25" customHeight="1" x14ac:dyDescent="0.35">
      <c r="B62" s="3"/>
    </row>
    <row r="63" spans="2:48" ht="14.25" customHeight="1" x14ac:dyDescent="0.35">
      <c r="B63" s="3"/>
    </row>
    <row r="64" spans="2:48" ht="14.25" customHeight="1" x14ac:dyDescent="0.35">
      <c r="B64" s="3"/>
    </row>
    <row r="65" spans="2:2" ht="14.25" customHeight="1" x14ac:dyDescent="0.35">
      <c r="B65" s="3"/>
    </row>
    <row r="66" spans="2:2" ht="14.25" customHeight="1" x14ac:dyDescent="0.35">
      <c r="B66" s="3"/>
    </row>
    <row r="67" spans="2:2" ht="14.25" customHeight="1" x14ac:dyDescent="0.35">
      <c r="B67" s="3"/>
    </row>
    <row r="68" spans="2:2" ht="14.25" customHeight="1" x14ac:dyDescent="0.35">
      <c r="B68" s="3"/>
    </row>
    <row r="69" spans="2:2" ht="14.25" customHeight="1" x14ac:dyDescent="0.35">
      <c r="B69" s="3"/>
    </row>
    <row r="70" spans="2:2" ht="14.25" customHeight="1" x14ac:dyDescent="0.35">
      <c r="B70" s="3"/>
    </row>
    <row r="71" spans="2:2" ht="14.25" customHeight="1" x14ac:dyDescent="0.35">
      <c r="B71" s="3"/>
    </row>
    <row r="72" spans="2:2" ht="14.25" customHeight="1" x14ac:dyDescent="0.35">
      <c r="B72" s="3"/>
    </row>
    <row r="73" spans="2:2" ht="14.25" customHeight="1" x14ac:dyDescent="0.35">
      <c r="B73" s="3"/>
    </row>
    <row r="74" spans="2:2" ht="14.25" customHeight="1" x14ac:dyDescent="0.35">
      <c r="B74" s="3"/>
    </row>
    <row r="75" spans="2:2" ht="14.25" customHeight="1" x14ac:dyDescent="0.35">
      <c r="B75" s="3"/>
    </row>
    <row r="76" spans="2:2" ht="14.25" customHeight="1" x14ac:dyDescent="0.35">
      <c r="B76" s="3"/>
    </row>
    <row r="77" spans="2:2" ht="14.25" customHeight="1" x14ac:dyDescent="0.35">
      <c r="B77" s="3"/>
    </row>
    <row r="78" spans="2:2" ht="14.25" customHeight="1" x14ac:dyDescent="0.35">
      <c r="B78" s="3"/>
    </row>
    <row r="79" spans="2:2" ht="14.25" customHeight="1" x14ac:dyDescent="0.35">
      <c r="B79" s="3"/>
    </row>
    <row r="80" spans="2:2" ht="14.25" customHeight="1" x14ac:dyDescent="0.35">
      <c r="B80" s="3"/>
    </row>
    <row r="81" spans="2:2" ht="14.25" customHeight="1" x14ac:dyDescent="0.35">
      <c r="B81" s="3"/>
    </row>
    <row r="82" spans="2:2" ht="14.25" customHeight="1" x14ac:dyDescent="0.35">
      <c r="B82" s="3"/>
    </row>
    <row r="83" spans="2:2" ht="14.25" customHeight="1" x14ac:dyDescent="0.35">
      <c r="B83" s="3"/>
    </row>
    <row r="84" spans="2:2" ht="14.25" customHeight="1" x14ac:dyDescent="0.35">
      <c r="B84" s="3"/>
    </row>
    <row r="85" spans="2:2" ht="14.25" customHeight="1" x14ac:dyDescent="0.35">
      <c r="B85" s="3"/>
    </row>
    <row r="86" spans="2:2" ht="14.25" customHeight="1" x14ac:dyDescent="0.35">
      <c r="B86" s="3"/>
    </row>
    <row r="87" spans="2:2" ht="14.25" customHeight="1" x14ac:dyDescent="0.35">
      <c r="B87" s="3"/>
    </row>
    <row r="88" spans="2:2" ht="14.25" customHeight="1" x14ac:dyDescent="0.35">
      <c r="B88" s="3"/>
    </row>
    <row r="89" spans="2:2" ht="14.25" customHeight="1" x14ac:dyDescent="0.35">
      <c r="B89" s="3"/>
    </row>
    <row r="90" spans="2:2" ht="14.25" customHeight="1" x14ac:dyDescent="0.35">
      <c r="B90" s="3"/>
    </row>
    <row r="91" spans="2:2" ht="14.25" customHeight="1" x14ac:dyDescent="0.35">
      <c r="B91" s="3"/>
    </row>
    <row r="92" spans="2:2" ht="14.25" customHeight="1" x14ac:dyDescent="0.35">
      <c r="B92" s="3"/>
    </row>
    <row r="93" spans="2:2" ht="14.25" customHeight="1" x14ac:dyDescent="0.35">
      <c r="B93" s="3"/>
    </row>
    <row r="94" spans="2:2" ht="14.25" customHeight="1" x14ac:dyDescent="0.35">
      <c r="B94" s="3"/>
    </row>
    <row r="95" spans="2:2" ht="14.25" customHeight="1" x14ac:dyDescent="0.35">
      <c r="B95" s="3"/>
    </row>
    <row r="96" spans="2:2" ht="14.25" customHeight="1" x14ac:dyDescent="0.35">
      <c r="B96" s="3"/>
    </row>
    <row r="97" spans="2:2" ht="14.25" customHeight="1" x14ac:dyDescent="0.35">
      <c r="B97" s="3"/>
    </row>
    <row r="98" spans="2:2" ht="14.25" customHeight="1" x14ac:dyDescent="0.35">
      <c r="B98" s="3"/>
    </row>
    <row r="99" spans="2:2" ht="14.25" customHeight="1" x14ac:dyDescent="0.35">
      <c r="B99" s="3"/>
    </row>
    <row r="100" spans="2:2" ht="14.25" customHeight="1" x14ac:dyDescent="0.35">
      <c r="B100" s="3"/>
    </row>
    <row r="101" spans="2:2" ht="14.25" customHeight="1" x14ac:dyDescent="0.35">
      <c r="B101" s="3"/>
    </row>
    <row r="102" spans="2:2" ht="14.25" customHeight="1" x14ac:dyDescent="0.35">
      <c r="B102" s="3"/>
    </row>
    <row r="103" spans="2:2" ht="14.25" customHeight="1" x14ac:dyDescent="0.35">
      <c r="B103" s="3"/>
    </row>
    <row r="104" spans="2:2" ht="14.25" customHeight="1" x14ac:dyDescent="0.35">
      <c r="B104" s="3"/>
    </row>
    <row r="105" spans="2:2" ht="14.25" customHeight="1" x14ac:dyDescent="0.35">
      <c r="B105" s="3"/>
    </row>
    <row r="106" spans="2:2" ht="14.25" customHeight="1" x14ac:dyDescent="0.35">
      <c r="B106" s="3"/>
    </row>
    <row r="107" spans="2:2" ht="14.25" customHeight="1" x14ac:dyDescent="0.35">
      <c r="B107" s="3"/>
    </row>
    <row r="108" spans="2:2" ht="14.25" customHeight="1" x14ac:dyDescent="0.35">
      <c r="B108" s="3"/>
    </row>
    <row r="109" spans="2:2" ht="14.25" customHeight="1" x14ac:dyDescent="0.35">
      <c r="B109" s="3"/>
    </row>
    <row r="110" spans="2:2" ht="14.25" customHeight="1" x14ac:dyDescent="0.35">
      <c r="B110" s="3"/>
    </row>
    <row r="111" spans="2:2" ht="14.25" customHeight="1" x14ac:dyDescent="0.35">
      <c r="B111" s="3"/>
    </row>
    <row r="112" spans="2:2" ht="14.25" customHeight="1" x14ac:dyDescent="0.35">
      <c r="B112" s="3"/>
    </row>
    <row r="113" spans="2:2" ht="14.25" customHeight="1" x14ac:dyDescent="0.35">
      <c r="B113" s="3"/>
    </row>
    <row r="114" spans="2:2" ht="14.25" customHeight="1" x14ac:dyDescent="0.35">
      <c r="B114" s="3"/>
    </row>
    <row r="115" spans="2:2" ht="14.25" customHeight="1" x14ac:dyDescent="0.35">
      <c r="B115" s="3"/>
    </row>
    <row r="116" spans="2:2" ht="14.25" customHeight="1" x14ac:dyDescent="0.35">
      <c r="B116" s="3"/>
    </row>
    <row r="117" spans="2:2" ht="14.25" customHeight="1" x14ac:dyDescent="0.35">
      <c r="B117" s="3"/>
    </row>
    <row r="118" spans="2:2" ht="14.25" customHeight="1" x14ac:dyDescent="0.35">
      <c r="B118" s="3"/>
    </row>
    <row r="119" spans="2:2" ht="14.25" customHeight="1" x14ac:dyDescent="0.35">
      <c r="B119" s="3"/>
    </row>
    <row r="120" spans="2:2" ht="14.25" customHeight="1" x14ac:dyDescent="0.35">
      <c r="B120" s="3"/>
    </row>
    <row r="121" spans="2:2" ht="14.25" customHeight="1" x14ac:dyDescent="0.35">
      <c r="B121" s="3"/>
    </row>
    <row r="122" spans="2:2" ht="14.25" customHeight="1" x14ac:dyDescent="0.35">
      <c r="B122" s="3"/>
    </row>
    <row r="123" spans="2:2" ht="14.25" customHeight="1" x14ac:dyDescent="0.35">
      <c r="B123" s="3"/>
    </row>
    <row r="124" spans="2:2" ht="14.25" customHeight="1" x14ac:dyDescent="0.35">
      <c r="B124" s="3"/>
    </row>
    <row r="125" spans="2:2" ht="14.25" customHeight="1" x14ac:dyDescent="0.35">
      <c r="B125" s="3"/>
    </row>
    <row r="126" spans="2:2" ht="14.25" customHeight="1" x14ac:dyDescent="0.35">
      <c r="B126" s="3"/>
    </row>
    <row r="127" spans="2:2" ht="14.25" customHeight="1" x14ac:dyDescent="0.35">
      <c r="B127" s="3"/>
    </row>
    <row r="128" spans="2:2" ht="14.25" customHeight="1" x14ac:dyDescent="0.35">
      <c r="B128" s="3"/>
    </row>
    <row r="129" spans="2:2" ht="14.25" customHeight="1" x14ac:dyDescent="0.35">
      <c r="B129" s="3"/>
    </row>
    <row r="130" spans="2:2" ht="14.25" customHeight="1" x14ac:dyDescent="0.35">
      <c r="B130" s="3"/>
    </row>
    <row r="131" spans="2:2" ht="14.25" customHeight="1" x14ac:dyDescent="0.35">
      <c r="B131" s="3"/>
    </row>
    <row r="132" spans="2:2" ht="14.25" customHeight="1" x14ac:dyDescent="0.35">
      <c r="B132" s="3"/>
    </row>
    <row r="133" spans="2:2" ht="14.25" customHeight="1" x14ac:dyDescent="0.35">
      <c r="B133" s="3"/>
    </row>
    <row r="134" spans="2:2" ht="14.25" customHeight="1" x14ac:dyDescent="0.35">
      <c r="B134" s="3"/>
    </row>
    <row r="135" spans="2:2" ht="14.25" customHeight="1" x14ac:dyDescent="0.35">
      <c r="B135" s="3"/>
    </row>
    <row r="136" spans="2:2" ht="14.25" customHeight="1" x14ac:dyDescent="0.35">
      <c r="B136" s="3"/>
    </row>
    <row r="137" spans="2:2" ht="14.25" customHeight="1" x14ac:dyDescent="0.35">
      <c r="B137" s="3"/>
    </row>
    <row r="138" spans="2:2" ht="14.25" customHeight="1" x14ac:dyDescent="0.35">
      <c r="B138" s="3"/>
    </row>
    <row r="139" spans="2:2" ht="14.25" customHeight="1" x14ac:dyDescent="0.35">
      <c r="B139" s="3"/>
    </row>
    <row r="140" spans="2:2" ht="14.25" customHeight="1" x14ac:dyDescent="0.35">
      <c r="B140" s="3"/>
    </row>
    <row r="141" spans="2:2" ht="14.25" customHeight="1" x14ac:dyDescent="0.35">
      <c r="B141" s="3"/>
    </row>
    <row r="142" spans="2:2" ht="14.25" customHeight="1" x14ac:dyDescent="0.35">
      <c r="B142" s="3"/>
    </row>
    <row r="143" spans="2:2" ht="14.25" customHeight="1" x14ac:dyDescent="0.35">
      <c r="B143" s="3"/>
    </row>
    <row r="144" spans="2:2" ht="14.25" customHeight="1" x14ac:dyDescent="0.35">
      <c r="B144" s="3"/>
    </row>
    <row r="145" spans="2:2" ht="14.25" customHeight="1" x14ac:dyDescent="0.35">
      <c r="B145" s="3"/>
    </row>
    <row r="146" spans="2:2" ht="14.25" customHeight="1" x14ac:dyDescent="0.35">
      <c r="B146" s="3"/>
    </row>
    <row r="147" spans="2:2" ht="14.25" customHeight="1" x14ac:dyDescent="0.35">
      <c r="B147" s="3"/>
    </row>
    <row r="148" spans="2:2" ht="14.25" customHeight="1" x14ac:dyDescent="0.35">
      <c r="B148" s="3"/>
    </row>
    <row r="149" spans="2:2" ht="14.25" customHeight="1" x14ac:dyDescent="0.35">
      <c r="B149" s="3"/>
    </row>
    <row r="150" spans="2:2" ht="14.25" customHeight="1" x14ac:dyDescent="0.35">
      <c r="B150" s="3"/>
    </row>
    <row r="151" spans="2:2" ht="14.25" customHeight="1" x14ac:dyDescent="0.35">
      <c r="B151" s="3"/>
    </row>
    <row r="152" spans="2:2" ht="14.25" customHeight="1" x14ac:dyDescent="0.35">
      <c r="B152" s="3"/>
    </row>
    <row r="153" spans="2:2" ht="14.25" customHeight="1" x14ac:dyDescent="0.35">
      <c r="B153" s="3"/>
    </row>
    <row r="154" spans="2:2" ht="14.25" customHeight="1" x14ac:dyDescent="0.35">
      <c r="B154" s="3"/>
    </row>
    <row r="155" spans="2:2" ht="14.25" customHeight="1" x14ac:dyDescent="0.35">
      <c r="B155" s="3"/>
    </row>
    <row r="156" spans="2:2" ht="14.25" customHeight="1" x14ac:dyDescent="0.35">
      <c r="B156" s="3"/>
    </row>
    <row r="157" spans="2:2" ht="14.25" customHeight="1" x14ac:dyDescent="0.35">
      <c r="B157" s="3"/>
    </row>
    <row r="158" spans="2:2" ht="14.25" customHeight="1" x14ac:dyDescent="0.35">
      <c r="B158" s="3"/>
    </row>
    <row r="159" spans="2:2" ht="14.25" customHeight="1" x14ac:dyDescent="0.35">
      <c r="B159" s="3"/>
    </row>
    <row r="160" spans="2:2" ht="14.25" customHeight="1" x14ac:dyDescent="0.35">
      <c r="B160" s="3"/>
    </row>
    <row r="161" spans="2:2" ht="14.25" customHeight="1" x14ac:dyDescent="0.35">
      <c r="B161" s="3"/>
    </row>
    <row r="162" spans="2:2" ht="14.25" customHeight="1" x14ac:dyDescent="0.35">
      <c r="B162" s="3"/>
    </row>
    <row r="163" spans="2:2" ht="14.25" customHeight="1" x14ac:dyDescent="0.35">
      <c r="B163" s="3"/>
    </row>
    <row r="164" spans="2:2" ht="14.25" customHeight="1" x14ac:dyDescent="0.35">
      <c r="B164" s="3"/>
    </row>
    <row r="165" spans="2:2" ht="14.25" customHeight="1" x14ac:dyDescent="0.35">
      <c r="B165" s="3"/>
    </row>
    <row r="166" spans="2:2" ht="14.25" customHeight="1" x14ac:dyDescent="0.35">
      <c r="B166" s="3"/>
    </row>
    <row r="167" spans="2:2" ht="14.25" customHeight="1" x14ac:dyDescent="0.35">
      <c r="B167" s="3"/>
    </row>
    <row r="168" spans="2:2" ht="14.25" customHeight="1" x14ac:dyDescent="0.35">
      <c r="B168" s="3"/>
    </row>
    <row r="169" spans="2:2" ht="14.25" customHeight="1" x14ac:dyDescent="0.35">
      <c r="B169" s="3"/>
    </row>
    <row r="170" spans="2:2" ht="14.25" customHeight="1" x14ac:dyDescent="0.35">
      <c r="B170" s="3"/>
    </row>
    <row r="171" spans="2:2" ht="14.25" customHeight="1" x14ac:dyDescent="0.35">
      <c r="B171" s="3"/>
    </row>
    <row r="172" spans="2:2" ht="14.25" customHeight="1" x14ac:dyDescent="0.35">
      <c r="B172" s="3"/>
    </row>
    <row r="173" spans="2:2" ht="14.25" customHeight="1" x14ac:dyDescent="0.35">
      <c r="B173" s="3"/>
    </row>
    <row r="174" spans="2:2" ht="14.25" customHeight="1" x14ac:dyDescent="0.35">
      <c r="B174" s="3"/>
    </row>
    <row r="175" spans="2:2" ht="14.25" customHeight="1" x14ac:dyDescent="0.35">
      <c r="B175" s="3"/>
    </row>
    <row r="176" spans="2:2" ht="14.25" customHeight="1" x14ac:dyDescent="0.35">
      <c r="B176" s="3"/>
    </row>
    <row r="177" spans="2:2" ht="14.25" customHeight="1" x14ac:dyDescent="0.35">
      <c r="B177" s="3"/>
    </row>
    <row r="178" spans="2:2" ht="14.25" customHeight="1" x14ac:dyDescent="0.35">
      <c r="B178" s="3"/>
    </row>
    <row r="179" spans="2:2" ht="14.25" customHeight="1" x14ac:dyDescent="0.35">
      <c r="B179" s="3"/>
    </row>
    <row r="180" spans="2:2" ht="14.25" customHeight="1" x14ac:dyDescent="0.35">
      <c r="B180" s="3"/>
    </row>
    <row r="181" spans="2:2" ht="14.25" customHeight="1" x14ac:dyDescent="0.35">
      <c r="B181" s="3"/>
    </row>
    <row r="182" spans="2:2" ht="14.25" customHeight="1" x14ac:dyDescent="0.35">
      <c r="B182" s="3"/>
    </row>
    <row r="183" spans="2:2" ht="14.25" customHeight="1" x14ac:dyDescent="0.35">
      <c r="B183" s="3"/>
    </row>
    <row r="184" spans="2:2" ht="14.25" customHeight="1" x14ac:dyDescent="0.35">
      <c r="B184" s="3"/>
    </row>
    <row r="185" spans="2:2" ht="14.25" customHeight="1" x14ac:dyDescent="0.35">
      <c r="B185" s="3"/>
    </row>
    <row r="186" spans="2:2" ht="14.25" customHeight="1" x14ac:dyDescent="0.35">
      <c r="B186" s="3"/>
    </row>
    <row r="187" spans="2:2" ht="14.25" customHeight="1" x14ac:dyDescent="0.35">
      <c r="B187" s="3"/>
    </row>
    <row r="188" spans="2:2" ht="14.25" customHeight="1" x14ac:dyDescent="0.35">
      <c r="B188" s="3"/>
    </row>
    <row r="189" spans="2:2" ht="14.25" customHeight="1" x14ac:dyDescent="0.35">
      <c r="B189" s="3"/>
    </row>
    <row r="190" spans="2:2" ht="14.25" customHeight="1" x14ac:dyDescent="0.35">
      <c r="B190" s="3"/>
    </row>
    <row r="191" spans="2:2" ht="14.25" customHeight="1" x14ac:dyDescent="0.35">
      <c r="B191" s="3"/>
    </row>
    <row r="192" spans="2:2" ht="14.25" customHeight="1" x14ac:dyDescent="0.35">
      <c r="B192" s="3"/>
    </row>
    <row r="193" spans="2:2" ht="14.25" customHeight="1" x14ac:dyDescent="0.35">
      <c r="B193" s="3"/>
    </row>
    <row r="194" spans="2:2" ht="14.25" customHeight="1" x14ac:dyDescent="0.35">
      <c r="B194" s="3"/>
    </row>
    <row r="195" spans="2:2" ht="14.25" customHeight="1" x14ac:dyDescent="0.35">
      <c r="B195" s="3"/>
    </row>
    <row r="196" spans="2:2" ht="14.25" customHeight="1" x14ac:dyDescent="0.35">
      <c r="B196" s="3"/>
    </row>
    <row r="197" spans="2:2" ht="14.25" customHeight="1" x14ac:dyDescent="0.35">
      <c r="B197" s="3"/>
    </row>
    <row r="198" spans="2:2" ht="14.25" customHeight="1" x14ac:dyDescent="0.35">
      <c r="B198" s="3"/>
    </row>
    <row r="199" spans="2:2" ht="14.25" customHeight="1" x14ac:dyDescent="0.35">
      <c r="B199" s="3"/>
    </row>
    <row r="200" spans="2:2" ht="14.25" customHeight="1" x14ac:dyDescent="0.35">
      <c r="B200" s="3"/>
    </row>
    <row r="201" spans="2:2" ht="14.25" customHeight="1" x14ac:dyDescent="0.35">
      <c r="B201" s="3"/>
    </row>
    <row r="202" spans="2:2" ht="14.25" customHeight="1" x14ac:dyDescent="0.35">
      <c r="B202" s="3"/>
    </row>
    <row r="203" spans="2:2" ht="14.25" customHeight="1" x14ac:dyDescent="0.35">
      <c r="B203" s="3"/>
    </row>
    <row r="204" spans="2:2" ht="14.25" customHeight="1" x14ac:dyDescent="0.35">
      <c r="B204" s="3"/>
    </row>
    <row r="205" spans="2:2" ht="14.25" customHeight="1" x14ac:dyDescent="0.35">
      <c r="B205" s="3"/>
    </row>
    <row r="206" spans="2:2" ht="14.25" customHeight="1" x14ac:dyDescent="0.35">
      <c r="B206" s="3"/>
    </row>
    <row r="207" spans="2:2" ht="14.25" customHeight="1" x14ac:dyDescent="0.35">
      <c r="B207" s="3"/>
    </row>
    <row r="208" spans="2:2" ht="14.25" customHeight="1" x14ac:dyDescent="0.35">
      <c r="B208" s="3"/>
    </row>
    <row r="209" spans="2:2" ht="14.25" customHeight="1" x14ac:dyDescent="0.35">
      <c r="B209" s="3"/>
    </row>
    <row r="210" spans="2:2" ht="14.25" customHeight="1" x14ac:dyDescent="0.35">
      <c r="B210" s="3"/>
    </row>
    <row r="211" spans="2:2" ht="14.25" customHeight="1" x14ac:dyDescent="0.35">
      <c r="B211" s="3"/>
    </row>
    <row r="212" spans="2:2" ht="14.25" customHeight="1" x14ac:dyDescent="0.35">
      <c r="B212" s="3"/>
    </row>
    <row r="213" spans="2:2" ht="14.25" customHeight="1" x14ac:dyDescent="0.35">
      <c r="B213" s="3"/>
    </row>
    <row r="214" spans="2:2" ht="14.25" customHeight="1" x14ac:dyDescent="0.35">
      <c r="B214" s="3"/>
    </row>
    <row r="215" spans="2:2" ht="14.25" customHeight="1" x14ac:dyDescent="0.35">
      <c r="B215" s="3"/>
    </row>
    <row r="216" spans="2:2" ht="14.25" customHeight="1" x14ac:dyDescent="0.35">
      <c r="B216" s="3"/>
    </row>
    <row r="217" spans="2:2" ht="14.25" customHeight="1" x14ac:dyDescent="0.35">
      <c r="B217" s="3"/>
    </row>
    <row r="218" spans="2:2" ht="14.25" customHeight="1" x14ac:dyDescent="0.35">
      <c r="B218" s="3"/>
    </row>
    <row r="219" spans="2:2" ht="14.25" customHeight="1" x14ac:dyDescent="0.35">
      <c r="B219" s="3"/>
    </row>
    <row r="220" spans="2:2" ht="14.25" customHeight="1" x14ac:dyDescent="0.35">
      <c r="B220" s="3"/>
    </row>
    <row r="221" spans="2:2" ht="14.25" customHeight="1" x14ac:dyDescent="0.35">
      <c r="B221" s="3"/>
    </row>
    <row r="222" spans="2:2" ht="14.25" customHeight="1" x14ac:dyDescent="0.35">
      <c r="B222" s="3"/>
    </row>
    <row r="223" spans="2:2" ht="14.25" customHeight="1" x14ac:dyDescent="0.35">
      <c r="B223" s="3"/>
    </row>
    <row r="224" spans="2:2" ht="14.25" customHeight="1" x14ac:dyDescent="0.35">
      <c r="B224" s="3"/>
    </row>
    <row r="225" spans="2:2" ht="14.25" customHeight="1" x14ac:dyDescent="0.35">
      <c r="B225" s="3"/>
    </row>
    <row r="226" spans="2:2" ht="14.25" customHeight="1" x14ac:dyDescent="0.35">
      <c r="B226" s="3"/>
    </row>
    <row r="227" spans="2:2" ht="14.25" customHeight="1" x14ac:dyDescent="0.35">
      <c r="B227" s="3"/>
    </row>
    <row r="228" spans="2:2" ht="14.25" customHeight="1" x14ac:dyDescent="0.35">
      <c r="B228" s="3"/>
    </row>
    <row r="229" spans="2:2" ht="14.25" customHeight="1" x14ac:dyDescent="0.35">
      <c r="B229" s="3"/>
    </row>
    <row r="230" spans="2:2" ht="14.25" customHeight="1" x14ac:dyDescent="0.35">
      <c r="B230" s="3"/>
    </row>
    <row r="231" spans="2:2" ht="14.25" customHeight="1" x14ac:dyDescent="0.35">
      <c r="B231" s="3"/>
    </row>
    <row r="232" spans="2:2" ht="14.25" customHeight="1" x14ac:dyDescent="0.35">
      <c r="B232" s="3"/>
    </row>
    <row r="233" spans="2:2" ht="14.25" customHeight="1" x14ac:dyDescent="0.35">
      <c r="B233" s="3"/>
    </row>
    <row r="234" spans="2:2" ht="14.25" customHeight="1" x14ac:dyDescent="0.35">
      <c r="B234" s="3"/>
    </row>
    <row r="235" spans="2:2" ht="14.25" customHeight="1" x14ac:dyDescent="0.35">
      <c r="B235" s="3"/>
    </row>
    <row r="236" spans="2:2" ht="14.25" customHeight="1" x14ac:dyDescent="0.35">
      <c r="B236" s="3"/>
    </row>
    <row r="237" spans="2:2" ht="14.25" customHeight="1" x14ac:dyDescent="0.35">
      <c r="B237" s="3"/>
    </row>
    <row r="238" spans="2:2" ht="14.25" customHeight="1" x14ac:dyDescent="0.35">
      <c r="B238" s="3"/>
    </row>
    <row r="239" spans="2:2" ht="14.25" customHeight="1" x14ac:dyDescent="0.35">
      <c r="B239" s="3"/>
    </row>
    <row r="240" spans="2:2" ht="14.25" customHeight="1" x14ac:dyDescent="0.35">
      <c r="B240" s="3"/>
    </row>
    <row r="241" spans="2:2" ht="14.25" customHeight="1" x14ac:dyDescent="0.35">
      <c r="B241" s="3"/>
    </row>
    <row r="242" spans="2:2" ht="14.25" customHeight="1" x14ac:dyDescent="0.35">
      <c r="B242" s="3"/>
    </row>
    <row r="243" spans="2:2" ht="14.25" customHeight="1" x14ac:dyDescent="0.35">
      <c r="B243" s="3"/>
    </row>
    <row r="244" spans="2:2" ht="14.25" customHeight="1" x14ac:dyDescent="0.35">
      <c r="B244" s="3"/>
    </row>
    <row r="245" spans="2:2" ht="14.25" customHeight="1" x14ac:dyDescent="0.35">
      <c r="B245" s="3"/>
    </row>
    <row r="246" spans="2:2" ht="14.25" customHeight="1" x14ac:dyDescent="0.35">
      <c r="B246" s="3"/>
    </row>
    <row r="247" spans="2:2" ht="14.25" customHeight="1" x14ac:dyDescent="0.35">
      <c r="B247" s="3"/>
    </row>
    <row r="248" spans="2:2" ht="14.25" customHeight="1" x14ac:dyDescent="0.35">
      <c r="B248" s="3"/>
    </row>
    <row r="249" spans="2:2" ht="14.25" customHeight="1" x14ac:dyDescent="0.35">
      <c r="B249" s="3"/>
    </row>
    <row r="250" spans="2:2" ht="14.25" customHeight="1" x14ac:dyDescent="0.35">
      <c r="B250" s="3"/>
    </row>
    <row r="251" spans="2:2" ht="14.25" customHeight="1" x14ac:dyDescent="0.35">
      <c r="B251" s="3"/>
    </row>
    <row r="252" spans="2:2" ht="14.25" customHeight="1" x14ac:dyDescent="0.35">
      <c r="B252" s="3"/>
    </row>
    <row r="253" spans="2:2" ht="14.25" customHeight="1" x14ac:dyDescent="0.35">
      <c r="B253" s="3"/>
    </row>
    <row r="254" spans="2:2" ht="14.25" customHeight="1" x14ac:dyDescent="0.35">
      <c r="B254" s="3"/>
    </row>
    <row r="255" spans="2:2" ht="14.25" customHeight="1" x14ac:dyDescent="0.35">
      <c r="B255" s="3"/>
    </row>
    <row r="256" spans="2:2" ht="14.25" customHeight="1" x14ac:dyDescent="0.35">
      <c r="B256" s="3"/>
    </row>
    <row r="257" spans="2:2" ht="14.25" customHeight="1" x14ac:dyDescent="0.35">
      <c r="B257" s="3"/>
    </row>
    <row r="258" spans="2:2" ht="14.25" customHeight="1" x14ac:dyDescent="0.35">
      <c r="B258" s="3"/>
    </row>
    <row r="259" spans="2:2" ht="14.25" customHeight="1" x14ac:dyDescent="0.35">
      <c r="B259" s="3"/>
    </row>
    <row r="260" spans="2:2" ht="14.25" customHeight="1" x14ac:dyDescent="0.35">
      <c r="B260" s="3"/>
    </row>
    <row r="261" spans="2:2" ht="14.25" customHeight="1" x14ac:dyDescent="0.35">
      <c r="B261" s="3"/>
    </row>
    <row r="262" spans="2:2" ht="14.25" customHeight="1" x14ac:dyDescent="0.35">
      <c r="B262" s="3"/>
    </row>
    <row r="263" spans="2:2" ht="14.25" customHeight="1" x14ac:dyDescent="0.35">
      <c r="B263" s="3"/>
    </row>
    <row r="264" spans="2:2" ht="14.25" customHeight="1" x14ac:dyDescent="0.35">
      <c r="B264" s="3"/>
    </row>
    <row r="265" spans="2:2" ht="14.25" customHeight="1" x14ac:dyDescent="0.35">
      <c r="B265" s="3"/>
    </row>
    <row r="266" spans="2:2" ht="14.25" customHeight="1" x14ac:dyDescent="0.35">
      <c r="B266" s="3"/>
    </row>
    <row r="267" spans="2:2" ht="14.25" customHeight="1" x14ac:dyDescent="0.35">
      <c r="B267" s="3"/>
    </row>
    <row r="268" spans="2:2" ht="14.25" customHeight="1" x14ac:dyDescent="0.35">
      <c r="B268" s="3"/>
    </row>
    <row r="269" spans="2:2" ht="14.25" customHeight="1" x14ac:dyDescent="0.35">
      <c r="B269" s="3"/>
    </row>
    <row r="270" spans="2:2" ht="14.25" customHeight="1" x14ac:dyDescent="0.35">
      <c r="B270" s="3"/>
    </row>
    <row r="271" spans="2:2" ht="14.25" customHeight="1" x14ac:dyDescent="0.35">
      <c r="B271" s="3"/>
    </row>
    <row r="272" spans="2:2" ht="14.25" customHeight="1" x14ac:dyDescent="0.35">
      <c r="B272" s="3"/>
    </row>
    <row r="273" spans="2:2" ht="14.25" customHeight="1" x14ac:dyDescent="0.35">
      <c r="B273" s="3"/>
    </row>
    <row r="274" spans="2:2" ht="14.25" customHeight="1" x14ac:dyDescent="0.35">
      <c r="B274" s="3"/>
    </row>
    <row r="275" spans="2:2" ht="14.25" customHeight="1" x14ac:dyDescent="0.35">
      <c r="B275" s="3"/>
    </row>
    <row r="276" spans="2:2" ht="14.25" customHeight="1" x14ac:dyDescent="0.35">
      <c r="B276" s="3"/>
    </row>
    <row r="277" spans="2:2" ht="14.25" customHeight="1" x14ac:dyDescent="0.35">
      <c r="B277" s="3"/>
    </row>
    <row r="278" spans="2:2" ht="14.25" customHeight="1" x14ac:dyDescent="0.35">
      <c r="B278" s="3"/>
    </row>
    <row r="279" spans="2:2" ht="14.25" customHeight="1" x14ac:dyDescent="0.35">
      <c r="B279" s="3"/>
    </row>
    <row r="280" spans="2:2" ht="14.25" customHeight="1" x14ac:dyDescent="0.35">
      <c r="B280" s="3"/>
    </row>
    <row r="281" spans="2:2" ht="14.25" customHeight="1" x14ac:dyDescent="0.35">
      <c r="B281" s="3"/>
    </row>
    <row r="282" spans="2:2" ht="14.25" customHeight="1" x14ac:dyDescent="0.35">
      <c r="B282" s="3"/>
    </row>
    <row r="283" spans="2:2" ht="14.25" customHeight="1" x14ac:dyDescent="0.35">
      <c r="B283" s="3"/>
    </row>
    <row r="284" spans="2:2" ht="14.25" customHeight="1" x14ac:dyDescent="0.35">
      <c r="B284" s="3"/>
    </row>
    <row r="285" spans="2:2" ht="14.25" customHeight="1" x14ac:dyDescent="0.35">
      <c r="B285" s="3"/>
    </row>
    <row r="286" spans="2:2" ht="14.25" customHeight="1" x14ac:dyDescent="0.35">
      <c r="B286" s="3"/>
    </row>
    <row r="287" spans="2:2" ht="14.25" customHeight="1" x14ac:dyDescent="0.35">
      <c r="B287" s="3"/>
    </row>
    <row r="288" spans="2:2" ht="14.25" customHeight="1" x14ac:dyDescent="0.35">
      <c r="B288" s="3"/>
    </row>
    <row r="289" spans="2:2" ht="14.25" customHeight="1" x14ac:dyDescent="0.35">
      <c r="B289" s="3"/>
    </row>
    <row r="290" spans="2:2" ht="14.25" customHeight="1" x14ac:dyDescent="0.35">
      <c r="B290" s="3"/>
    </row>
    <row r="291" spans="2:2" ht="14.25" customHeight="1" x14ac:dyDescent="0.35">
      <c r="B291" s="3"/>
    </row>
    <row r="292" spans="2:2" ht="14.25" customHeight="1" x14ac:dyDescent="0.35">
      <c r="B292" s="3"/>
    </row>
    <row r="293" spans="2:2" ht="14.25" customHeight="1" x14ac:dyDescent="0.35">
      <c r="B293" s="3"/>
    </row>
    <row r="294" spans="2:2" ht="14.25" customHeight="1" x14ac:dyDescent="0.35">
      <c r="B294" s="3"/>
    </row>
    <row r="295" spans="2:2" ht="14.25" customHeight="1" x14ac:dyDescent="0.35">
      <c r="B295" s="3"/>
    </row>
    <row r="296" spans="2:2" ht="14.25" customHeight="1" x14ac:dyDescent="0.35">
      <c r="B296" s="3"/>
    </row>
    <row r="297" spans="2:2" ht="14.25" customHeight="1" x14ac:dyDescent="0.35">
      <c r="B297" s="3"/>
    </row>
    <row r="298" spans="2:2" ht="14.25" customHeight="1" x14ac:dyDescent="0.35">
      <c r="B298" s="3"/>
    </row>
    <row r="299" spans="2:2" ht="14.25" customHeight="1" x14ac:dyDescent="0.35">
      <c r="B299" s="3"/>
    </row>
    <row r="300" spans="2:2" ht="14.25" customHeight="1" x14ac:dyDescent="0.35">
      <c r="B300" s="3"/>
    </row>
    <row r="301" spans="2:2" ht="14.25" customHeight="1" x14ac:dyDescent="0.35">
      <c r="B301" s="3"/>
    </row>
    <row r="302" spans="2:2" ht="14.25" customHeight="1" x14ac:dyDescent="0.35">
      <c r="B302" s="3"/>
    </row>
    <row r="303" spans="2:2" ht="14.25" customHeight="1" x14ac:dyDescent="0.35">
      <c r="B303" s="3"/>
    </row>
    <row r="304" spans="2:2" ht="14.25" customHeight="1" x14ac:dyDescent="0.35">
      <c r="B304" s="3"/>
    </row>
    <row r="305" spans="2:2" ht="14.25" customHeight="1" x14ac:dyDescent="0.35">
      <c r="B305" s="3"/>
    </row>
    <row r="306" spans="2:2" ht="14.25" customHeight="1" x14ac:dyDescent="0.35">
      <c r="B306" s="3"/>
    </row>
    <row r="307" spans="2:2" ht="14.25" customHeight="1" x14ac:dyDescent="0.35">
      <c r="B307" s="3"/>
    </row>
    <row r="308" spans="2:2" ht="14.25" customHeight="1" x14ac:dyDescent="0.35">
      <c r="B308" s="3"/>
    </row>
    <row r="309" spans="2:2" ht="14.25" customHeight="1" x14ac:dyDescent="0.35">
      <c r="B309" s="3"/>
    </row>
    <row r="310" spans="2:2" ht="14.25" customHeight="1" x14ac:dyDescent="0.35">
      <c r="B310" s="3"/>
    </row>
    <row r="311" spans="2:2" ht="14.25" customHeight="1" x14ac:dyDescent="0.35">
      <c r="B311" s="3"/>
    </row>
    <row r="312" spans="2:2" ht="14.25" customHeight="1" x14ac:dyDescent="0.35">
      <c r="B312" s="3"/>
    </row>
    <row r="313" spans="2:2" ht="14.25" customHeight="1" x14ac:dyDescent="0.35">
      <c r="B313" s="3"/>
    </row>
    <row r="314" spans="2:2" ht="14.25" customHeight="1" x14ac:dyDescent="0.35">
      <c r="B314" s="3"/>
    </row>
    <row r="315" spans="2:2" ht="14.25" customHeight="1" x14ac:dyDescent="0.35">
      <c r="B315" s="3"/>
    </row>
    <row r="316" spans="2:2" ht="14.25" customHeight="1" x14ac:dyDescent="0.35">
      <c r="B316" s="3"/>
    </row>
    <row r="317" spans="2:2" ht="14.25" customHeight="1" x14ac:dyDescent="0.35">
      <c r="B317" s="3"/>
    </row>
    <row r="318" spans="2:2" ht="14.25" customHeight="1" x14ac:dyDescent="0.35">
      <c r="B318" s="3"/>
    </row>
    <row r="319" spans="2:2" ht="14.25" customHeight="1" x14ac:dyDescent="0.35">
      <c r="B319" s="3"/>
    </row>
    <row r="320" spans="2:2" ht="14.25" customHeight="1" x14ac:dyDescent="0.35">
      <c r="B320" s="3"/>
    </row>
    <row r="321" spans="2:2" ht="14.25" customHeight="1" x14ac:dyDescent="0.35">
      <c r="B321" s="3"/>
    </row>
    <row r="322" spans="2:2" ht="14.25" customHeight="1" x14ac:dyDescent="0.35">
      <c r="B322" s="3"/>
    </row>
    <row r="323" spans="2:2" ht="14.25" customHeight="1" x14ac:dyDescent="0.35">
      <c r="B323" s="3"/>
    </row>
    <row r="324" spans="2:2" ht="14.25" customHeight="1" x14ac:dyDescent="0.35">
      <c r="B324" s="3"/>
    </row>
    <row r="325" spans="2:2" ht="14.25" customHeight="1" x14ac:dyDescent="0.35">
      <c r="B325" s="3"/>
    </row>
    <row r="326" spans="2:2" ht="14.25" customHeight="1" x14ac:dyDescent="0.35">
      <c r="B326" s="3"/>
    </row>
    <row r="327" spans="2:2" ht="14.25" customHeight="1" x14ac:dyDescent="0.35">
      <c r="B327" s="3"/>
    </row>
    <row r="328" spans="2:2" ht="14.25" customHeight="1" x14ac:dyDescent="0.35">
      <c r="B328" s="3"/>
    </row>
    <row r="329" spans="2:2" ht="14.25" customHeight="1" x14ac:dyDescent="0.35">
      <c r="B329" s="3"/>
    </row>
    <row r="330" spans="2:2" ht="14.25" customHeight="1" x14ac:dyDescent="0.35">
      <c r="B330" s="3"/>
    </row>
    <row r="331" spans="2:2" ht="14.25" customHeight="1" x14ac:dyDescent="0.35">
      <c r="B331" s="3"/>
    </row>
    <row r="332" spans="2:2" ht="14.25" customHeight="1" x14ac:dyDescent="0.35">
      <c r="B332" s="3"/>
    </row>
    <row r="333" spans="2:2" ht="14.25" customHeight="1" x14ac:dyDescent="0.35">
      <c r="B333" s="3"/>
    </row>
    <row r="334" spans="2:2" ht="14.25" customHeight="1" x14ac:dyDescent="0.35">
      <c r="B334" s="3"/>
    </row>
    <row r="335" spans="2:2" ht="14.25" customHeight="1" x14ac:dyDescent="0.35">
      <c r="B335" s="3"/>
    </row>
    <row r="336" spans="2:2" ht="14.25" customHeight="1" x14ac:dyDescent="0.35">
      <c r="B336" s="3"/>
    </row>
    <row r="337" spans="2:2" ht="14.25" customHeight="1" x14ac:dyDescent="0.35">
      <c r="B337" s="3"/>
    </row>
    <row r="338" spans="2:2" ht="14.25" customHeight="1" x14ac:dyDescent="0.35">
      <c r="B338" s="3"/>
    </row>
    <row r="339" spans="2:2" ht="14.25" customHeight="1" x14ac:dyDescent="0.35">
      <c r="B339" s="3"/>
    </row>
    <row r="340" spans="2:2" ht="14.25" customHeight="1" x14ac:dyDescent="0.35">
      <c r="B340" s="3"/>
    </row>
    <row r="341" spans="2:2" ht="14.25" customHeight="1" x14ac:dyDescent="0.35">
      <c r="B341" s="3"/>
    </row>
    <row r="342" spans="2:2" ht="14.25" customHeight="1" x14ac:dyDescent="0.35">
      <c r="B342" s="3"/>
    </row>
    <row r="343" spans="2:2" ht="14.25" customHeight="1" x14ac:dyDescent="0.35">
      <c r="B343" s="3"/>
    </row>
    <row r="344" spans="2:2" ht="14.25" customHeight="1" x14ac:dyDescent="0.35">
      <c r="B344" s="3"/>
    </row>
    <row r="345" spans="2:2" ht="14.25" customHeight="1" x14ac:dyDescent="0.35">
      <c r="B345" s="3"/>
    </row>
    <row r="346" spans="2:2" ht="14.25" customHeight="1" x14ac:dyDescent="0.35">
      <c r="B346" s="3"/>
    </row>
    <row r="347" spans="2:2" ht="14.25" customHeight="1" x14ac:dyDescent="0.35">
      <c r="B347" s="3"/>
    </row>
    <row r="348" spans="2:2" ht="14.25" customHeight="1" x14ac:dyDescent="0.35">
      <c r="B348" s="3"/>
    </row>
    <row r="349" spans="2:2" ht="14.25" customHeight="1" x14ac:dyDescent="0.35">
      <c r="B349" s="3"/>
    </row>
    <row r="350" spans="2:2" ht="14.25" customHeight="1" x14ac:dyDescent="0.35">
      <c r="B350" s="3"/>
    </row>
    <row r="351" spans="2:2" ht="14.25" customHeight="1" x14ac:dyDescent="0.35">
      <c r="B351" s="3"/>
    </row>
    <row r="352" spans="2:2" ht="14.25" customHeight="1" x14ac:dyDescent="0.35">
      <c r="B352" s="3"/>
    </row>
    <row r="353" spans="2:2" ht="14.25" customHeight="1" x14ac:dyDescent="0.35">
      <c r="B353" s="3"/>
    </row>
    <row r="354" spans="2:2" ht="14.25" customHeight="1" x14ac:dyDescent="0.35">
      <c r="B354" s="3"/>
    </row>
    <row r="355" spans="2:2" ht="14.25" customHeight="1" x14ac:dyDescent="0.35">
      <c r="B355" s="3"/>
    </row>
    <row r="356" spans="2:2" ht="14.25" customHeight="1" x14ac:dyDescent="0.35">
      <c r="B356" s="3"/>
    </row>
    <row r="357" spans="2:2" ht="14.25" customHeight="1" x14ac:dyDescent="0.35">
      <c r="B357" s="3"/>
    </row>
    <row r="358" spans="2:2" ht="14.25" customHeight="1" x14ac:dyDescent="0.35">
      <c r="B358" s="3"/>
    </row>
    <row r="359" spans="2:2" ht="14.25" customHeight="1" x14ac:dyDescent="0.35">
      <c r="B359" s="3"/>
    </row>
    <row r="360" spans="2:2" ht="14.25" customHeight="1" x14ac:dyDescent="0.35">
      <c r="B360" s="3"/>
    </row>
    <row r="361" spans="2:2" ht="14.25" customHeight="1" x14ac:dyDescent="0.35">
      <c r="B361" s="3"/>
    </row>
    <row r="362" spans="2:2" ht="14.25" customHeight="1" x14ac:dyDescent="0.35">
      <c r="B362" s="3"/>
    </row>
    <row r="363" spans="2:2" ht="14.25" customHeight="1" x14ac:dyDescent="0.35">
      <c r="B363" s="3"/>
    </row>
    <row r="364" spans="2:2" ht="14.25" customHeight="1" x14ac:dyDescent="0.35">
      <c r="B364" s="3"/>
    </row>
    <row r="365" spans="2:2" ht="14.25" customHeight="1" x14ac:dyDescent="0.35">
      <c r="B365" s="3"/>
    </row>
    <row r="366" spans="2:2" ht="14.25" customHeight="1" x14ac:dyDescent="0.35">
      <c r="B366" s="3"/>
    </row>
    <row r="367" spans="2:2" ht="14.25" customHeight="1" x14ac:dyDescent="0.35">
      <c r="B367" s="3"/>
    </row>
    <row r="368" spans="2:2" ht="14.25" customHeight="1" x14ac:dyDescent="0.35">
      <c r="B368" s="3"/>
    </row>
    <row r="369" spans="2:2" ht="14.25" customHeight="1" x14ac:dyDescent="0.35">
      <c r="B369" s="3"/>
    </row>
    <row r="370" spans="2:2" ht="14.25" customHeight="1" x14ac:dyDescent="0.35">
      <c r="B370" s="3"/>
    </row>
    <row r="371" spans="2:2" ht="14.25" customHeight="1" x14ac:dyDescent="0.35">
      <c r="B371" s="3"/>
    </row>
    <row r="372" spans="2:2" ht="14.25" customHeight="1" x14ac:dyDescent="0.35">
      <c r="B372" s="3"/>
    </row>
    <row r="373" spans="2:2" ht="14.25" customHeight="1" x14ac:dyDescent="0.35">
      <c r="B373" s="3"/>
    </row>
    <row r="374" spans="2:2" ht="14.25" customHeight="1" x14ac:dyDescent="0.35">
      <c r="B374" s="3"/>
    </row>
    <row r="375" spans="2:2" ht="14.25" customHeight="1" x14ac:dyDescent="0.35">
      <c r="B375" s="3"/>
    </row>
    <row r="376" spans="2:2" ht="14.25" customHeight="1" x14ac:dyDescent="0.35">
      <c r="B376" s="3"/>
    </row>
    <row r="377" spans="2:2" ht="14.25" customHeight="1" x14ac:dyDescent="0.35">
      <c r="B377" s="3"/>
    </row>
    <row r="378" spans="2:2" ht="14.25" customHeight="1" x14ac:dyDescent="0.35">
      <c r="B378" s="3"/>
    </row>
    <row r="379" spans="2:2" ht="14.25" customHeight="1" x14ac:dyDescent="0.35">
      <c r="B379" s="3"/>
    </row>
    <row r="380" spans="2:2" ht="14.25" customHeight="1" x14ac:dyDescent="0.35">
      <c r="B380" s="3"/>
    </row>
    <row r="381" spans="2:2" ht="14.25" customHeight="1" x14ac:dyDescent="0.35">
      <c r="B381" s="3"/>
    </row>
    <row r="382" spans="2:2" ht="14.25" customHeight="1" x14ac:dyDescent="0.35">
      <c r="B382" s="3"/>
    </row>
    <row r="383" spans="2:2" ht="14.25" customHeight="1" x14ac:dyDescent="0.35">
      <c r="B383" s="3"/>
    </row>
    <row r="384" spans="2:2" ht="14.25" customHeight="1" x14ac:dyDescent="0.35">
      <c r="B384" s="3"/>
    </row>
    <row r="385" spans="2:2" ht="14.25" customHeight="1" x14ac:dyDescent="0.35">
      <c r="B385" s="3"/>
    </row>
    <row r="386" spans="2:2" ht="14.25" customHeight="1" x14ac:dyDescent="0.35">
      <c r="B386" s="3"/>
    </row>
    <row r="387" spans="2:2" ht="14.25" customHeight="1" x14ac:dyDescent="0.35">
      <c r="B387" s="3"/>
    </row>
    <row r="388" spans="2:2" ht="14.25" customHeight="1" x14ac:dyDescent="0.35">
      <c r="B388" s="3"/>
    </row>
    <row r="389" spans="2:2" ht="14.25" customHeight="1" x14ac:dyDescent="0.35">
      <c r="B389" s="3"/>
    </row>
    <row r="390" spans="2:2" ht="14.25" customHeight="1" x14ac:dyDescent="0.35">
      <c r="B390" s="3"/>
    </row>
    <row r="391" spans="2:2" ht="14.25" customHeight="1" x14ac:dyDescent="0.35">
      <c r="B391" s="3"/>
    </row>
    <row r="392" spans="2:2" ht="14.25" customHeight="1" x14ac:dyDescent="0.35">
      <c r="B392" s="3"/>
    </row>
    <row r="393" spans="2:2" ht="14.25" customHeight="1" x14ac:dyDescent="0.35">
      <c r="B393" s="3"/>
    </row>
    <row r="394" spans="2:2" ht="14.25" customHeight="1" x14ac:dyDescent="0.35">
      <c r="B394" s="3"/>
    </row>
    <row r="395" spans="2:2" ht="14.25" customHeight="1" x14ac:dyDescent="0.35">
      <c r="B395" s="3"/>
    </row>
    <row r="396" spans="2:2" ht="14.25" customHeight="1" x14ac:dyDescent="0.35">
      <c r="B396" s="3"/>
    </row>
    <row r="397" spans="2:2" ht="14.25" customHeight="1" x14ac:dyDescent="0.35">
      <c r="B397" s="3"/>
    </row>
    <row r="398" spans="2:2" ht="14.25" customHeight="1" x14ac:dyDescent="0.35">
      <c r="B398" s="3"/>
    </row>
    <row r="399" spans="2:2" ht="14.25" customHeight="1" x14ac:dyDescent="0.35">
      <c r="B399" s="3"/>
    </row>
    <row r="400" spans="2:2" ht="14.25" customHeight="1" x14ac:dyDescent="0.35">
      <c r="B400" s="3"/>
    </row>
    <row r="401" spans="2:2" ht="14.25" customHeight="1" x14ac:dyDescent="0.35">
      <c r="B401" s="3"/>
    </row>
    <row r="402" spans="2:2" ht="14.25" customHeight="1" x14ac:dyDescent="0.35">
      <c r="B402" s="3"/>
    </row>
    <row r="403" spans="2:2" ht="14.25" customHeight="1" x14ac:dyDescent="0.35">
      <c r="B403" s="3"/>
    </row>
    <row r="404" spans="2:2" ht="14.25" customHeight="1" x14ac:dyDescent="0.35">
      <c r="B404" s="3"/>
    </row>
    <row r="405" spans="2:2" ht="14.25" customHeight="1" x14ac:dyDescent="0.35">
      <c r="B405" s="3"/>
    </row>
    <row r="406" spans="2:2" ht="14.25" customHeight="1" x14ac:dyDescent="0.35">
      <c r="B406" s="3"/>
    </row>
    <row r="407" spans="2:2" ht="14.25" customHeight="1" x14ac:dyDescent="0.35">
      <c r="B407" s="3"/>
    </row>
    <row r="408" spans="2:2" ht="14.25" customHeight="1" x14ac:dyDescent="0.35">
      <c r="B408" s="3"/>
    </row>
    <row r="409" spans="2:2" ht="14.25" customHeight="1" x14ac:dyDescent="0.35">
      <c r="B409" s="3"/>
    </row>
    <row r="410" spans="2:2" ht="14.25" customHeight="1" x14ac:dyDescent="0.35">
      <c r="B410" s="3"/>
    </row>
    <row r="411" spans="2:2" ht="14.25" customHeight="1" x14ac:dyDescent="0.35">
      <c r="B411" s="3"/>
    </row>
    <row r="412" spans="2:2" ht="14.25" customHeight="1" x14ac:dyDescent="0.35">
      <c r="B412" s="3"/>
    </row>
    <row r="413" spans="2:2" ht="14.25" customHeight="1" x14ac:dyDescent="0.35">
      <c r="B413" s="3"/>
    </row>
    <row r="414" spans="2:2" ht="14.25" customHeight="1" x14ac:dyDescent="0.35">
      <c r="B414" s="3"/>
    </row>
    <row r="415" spans="2:2" ht="14.25" customHeight="1" x14ac:dyDescent="0.35">
      <c r="B415" s="3"/>
    </row>
    <row r="416" spans="2:2" ht="14.25" customHeight="1" x14ac:dyDescent="0.35">
      <c r="B416" s="3"/>
    </row>
    <row r="417" spans="2:2" ht="14.25" customHeight="1" x14ac:dyDescent="0.35">
      <c r="B417" s="3"/>
    </row>
    <row r="418" spans="2:2" ht="14.25" customHeight="1" x14ac:dyDescent="0.35">
      <c r="B418" s="3"/>
    </row>
    <row r="419" spans="2:2" ht="14.25" customHeight="1" x14ac:dyDescent="0.35">
      <c r="B419" s="3"/>
    </row>
    <row r="420" spans="2:2" ht="14.25" customHeight="1" x14ac:dyDescent="0.35">
      <c r="B420" s="3"/>
    </row>
    <row r="421" spans="2:2" ht="14.25" customHeight="1" x14ac:dyDescent="0.35">
      <c r="B421" s="3"/>
    </row>
    <row r="422" spans="2:2" ht="14.25" customHeight="1" x14ac:dyDescent="0.35">
      <c r="B422" s="3"/>
    </row>
    <row r="423" spans="2:2" ht="14.25" customHeight="1" x14ac:dyDescent="0.35">
      <c r="B423" s="3"/>
    </row>
    <row r="424" spans="2:2" ht="14.25" customHeight="1" x14ac:dyDescent="0.35">
      <c r="B424" s="3"/>
    </row>
    <row r="425" spans="2:2" ht="14.25" customHeight="1" x14ac:dyDescent="0.35">
      <c r="B425" s="3"/>
    </row>
    <row r="426" spans="2:2" ht="14.25" customHeight="1" x14ac:dyDescent="0.35">
      <c r="B426" s="3"/>
    </row>
    <row r="427" spans="2:2" ht="14.25" customHeight="1" x14ac:dyDescent="0.35">
      <c r="B427" s="3"/>
    </row>
    <row r="428" spans="2:2" ht="14.25" customHeight="1" x14ac:dyDescent="0.35">
      <c r="B428" s="3"/>
    </row>
    <row r="429" spans="2:2" ht="14.25" customHeight="1" x14ac:dyDescent="0.35">
      <c r="B429" s="3"/>
    </row>
    <row r="430" spans="2:2" ht="14.25" customHeight="1" x14ac:dyDescent="0.35">
      <c r="B430" s="3"/>
    </row>
    <row r="431" spans="2:2" ht="14.25" customHeight="1" x14ac:dyDescent="0.35">
      <c r="B431" s="3"/>
    </row>
    <row r="432" spans="2:2" ht="14.25" customHeight="1" x14ac:dyDescent="0.35">
      <c r="B432" s="3"/>
    </row>
    <row r="433" spans="2:2" ht="14.25" customHeight="1" x14ac:dyDescent="0.35">
      <c r="B433" s="3"/>
    </row>
    <row r="434" spans="2:2" ht="14.25" customHeight="1" x14ac:dyDescent="0.35">
      <c r="B434" s="3"/>
    </row>
    <row r="435" spans="2:2" ht="14.25" customHeight="1" x14ac:dyDescent="0.35">
      <c r="B435" s="3"/>
    </row>
    <row r="436" spans="2:2" ht="14.25" customHeight="1" x14ac:dyDescent="0.35">
      <c r="B436" s="3"/>
    </row>
    <row r="437" spans="2:2" ht="14.25" customHeight="1" x14ac:dyDescent="0.35">
      <c r="B437" s="3"/>
    </row>
    <row r="438" spans="2:2" ht="14.25" customHeight="1" x14ac:dyDescent="0.35">
      <c r="B438" s="3"/>
    </row>
    <row r="439" spans="2:2" ht="14.25" customHeight="1" x14ac:dyDescent="0.35">
      <c r="B439" s="3"/>
    </row>
    <row r="440" spans="2:2" ht="14.25" customHeight="1" x14ac:dyDescent="0.35">
      <c r="B440" s="3"/>
    </row>
    <row r="441" spans="2:2" ht="14.25" customHeight="1" x14ac:dyDescent="0.35">
      <c r="B441" s="3"/>
    </row>
    <row r="442" spans="2:2" ht="14.25" customHeight="1" x14ac:dyDescent="0.35">
      <c r="B442" s="3"/>
    </row>
    <row r="443" spans="2:2" ht="14.25" customHeight="1" x14ac:dyDescent="0.35">
      <c r="B443" s="3"/>
    </row>
    <row r="444" spans="2:2" ht="14.25" customHeight="1" x14ac:dyDescent="0.35">
      <c r="B444" s="3"/>
    </row>
    <row r="445" spans="2:2" ht="14.25" customHeight="1" x14ac:dyDescent="0.35">
      <c r="B445" s="3"/>
    </row>
    <row r="446" spans="2:2" ht="14.25" customHeight="1" x14ac:dyDescent="0.35">
      <c r="B446" s="3"/>
    </row>
    <row r="447" spans="2:2" ht="14.25" customHeight="1" x14ac:dyDescent="0.35">
      <c r="B447" s="3"/>
    </row>
    <row r="448" spans="2:2" ht="14.25" customHeight="1" x14ac:dyDescent="0.35">
      <c r="B448" s="3"/>
    </row>
    <row r="449" spans="2:2" ht="14.25" customHeight="1" x14ac:dyDescent="0.35">
      <c r="B449" s="3"/>
    </row>
    <row r="450" spans="2:2" ht="14.25" customHeight="1" x14ac:dyDescent="0.35">
      <c r="B450" s="3"/>
    </row>
    <row r="451" spans="2:2" ht="14.25" customHeight="1" x14ac:dyDescent="0.35">
      <c r="B451" s="3"/>
    </row>
    <row r="452" spans="2:2" ht="14.25" customHeight="1" x14ac:dyDescent="0.35">
      <c r="B452" s="3"/>
    </row>
    <row r="453" spans="2:2" ht="14.25" customHeight="1" x14ac:dyDescent="0.35">
      <c r="B453" s="3"/>
    </row>
    <row r="454" spans="2:2" ht="14.25" customHeight="1" x14ac:dyDescent="0.35">
      <c r="B454" s="3"/>
    </row>
    <row r="455" spans="2:2" ht="14.25" customHeight="1" x14ac:dyDescent="0.35">
      <c r="B455" s="3"/>
    </row>
    <row r="456" spans="2:2" ht="14.25" customHeight="1" x14ac:dyDescent="0.35">
      <c r="B456" s="3"/>
    </row>
    <row r="457" spans="2:2" ht="14.25" customHeight="1" x14ac:dyDescent="0.35">
      <c r="B457" s="3"/>
    </row>
    <row r="458" spans="2:2" ht="14.25" customHeight="1" x14ac:dyDescent="0.35">
      <c r="B458" s="3"/>
    </row>
    <row r="459" spans="2:2" ht="14.25" customHeight="1" x14ac:dyDescent="0.35">
      <c r="B459" s="3"/>
    </row>
    <row r="460" spans="2:2" ht="14.25" customHeight="1" x14ac:dyDescent="0.35">
      <c r="B460" s="3"/>
    </row>
    <row r="461" spans="2:2" ht="14.25" customHeight="1" x14ac:dyDescent="0.35">
      <c r="B461" s="3"/>
    </row>
    <row r="462" spans="2:2" ht="14.25" customHeight="1" x14ac:dyDescent="0.35">
      <c r="B462" s="3"/>
    </row>
    <row r="463" spans="2:2" ht="14.25" customHeight="1" x14ac:dyDescent="0.35">
      <c r="B463" s="3"/>
    </row>
    <row r="464" spans="2:2" ht="14.25" customHeight="1" x14ac:dyDescent="0.35">
      <c r="B464" s="3"/>
    </row>
    <row r="465" spans="2:2" ht="14.25" customHeight="1" x14ac:dyDescent="0.35">
      <c r="B465" s="3"/>
    </row>
    <row r="466" spans="2:2" ht="14.25" customHeight="1" x14ac:dyDescent="0.35">
      <c r="B466" s="3"/>
    </row>
    <row r="467" spans="2:2" ht="14.25" customHeight="1" x14ac:dyDescent="0.35">
      <c r="B467" s="3"/>
    </row>
    <row r="468" spans="2:2" ht="14.25" customHeight="1" x14ac:dyDescent="0.35">
      <c r="B468" s="3"/>
    </row>
    <row r="469" spans="2:2" ht="14.25" customHeight="1" x14ac:dyDescent="0.35">
      <c r="B469" s="3"/>
    </row>
    <row r="470" spans="2:2" ht="14.25" customHeight="1" x14ac:dyDescent="0.35">
      <c r="B470" s="3"/>
    </row>
    <row r="471" spans="2:2" ht="14.25" customHeight="1" x14ac:dyDescent="0.35">
      <c r="B471" s="3"/>
    </row>
    <row r="472" spans="2:2" ht="14.25" customHeight="1" x14ac:dyDescent="0.35">
      <c r="B472" s="3"/>
    </row>
    <row r="473" spans="2:2" ht="14.25" customHeight="1" x14ac:dyDescent="0.35">
      <c r="B473" s="3"/>
    </row>
    <row r="474" spans="2:2" ht="14.25" customHeight="1" x14ac:dyDescent="0.35">
      <c r="B474" s="3"/>
    </row>
    <row r="475" spans="2:2" ht="14.25" customHeight="1" x14ac:dyDescent="0.35">
      <c r="B475" s="3"/>
    </row>
    <row r="476" spans="2:2" ht="14.25" customHeight="1" x14ac:dyDescent="0.35">
      <c r="B476" s="3"/>
    </row>
    <row r="477" spans="2:2" ht="14.25" customHeight="1" x14ac:dyDescent="0.35">
      <c r="B477" s="3"/>
    </row>
    <row r="478" spans="2:2" ht="14.25" customHeight="1" x14ac:dyDescent="0.35">
      <c r="B478" s="3"/>
    </row>
    <row r="479" spans="2:2" ht="14.25" customHeight="1" x14ac:dyDescent="0.35">
      <c r="B479" s="3"/>
    </row>
    <row r="480" spans="2:2" ht="14.25" customHeight="1" x14ac:dyDescent="0.35">
      <c r="B480" s="3"/>
    </row>
    <row r="481" spans="2:2" ht="14.25" customHeight="1" x14ac:dyDescent="0.35">
      <c r="B481" s="3"/>
    </row>
    <row r="482" spans="2:2" ht="14.25" customHeight="1" x14ac:dyDescent="0.35">
      <c r="B482" s="3"/>
    </row>
    <row r="483" spans="2:2" ht="14.25" customHeight="1" x14ac:dyDescent="0.35">
      <c r="B483" s="3"/>
    </row>
    <row r="484" spans="2:2" ht="14.25" customHeight="1" x14ac:dyDescent="0.35">
      <c r="B484" s="3"/>
    </row>
    <row r="485" spans="2:2" ht="14.25" customHeight="1" x14ac:dyDescent="0.35">
      <c r="B485" s="3"/>
    </row>
    <row r="486" spans="2:2" ht="14.25" customHeight="1" x14ac:dyDescent="0.35">
      <c r="B486" s="3"/>
    </row>
    <row r="487" spans="2:2" ht="14.25" customHeight="1" x14ac:dyDescent="0.35">
      <c r="B487" s="3"/>
    </row>
    <row r="488" spans="2:2" ht="14.25" customHeight="1" x14ac:dyDescent="0.35">
      <c r="B488" s="3"/>
    </row>
    <row r="489" spans="2:2" ht="14.25" customHeight="1" x14ac:dyDescent="0.35">
      <c r="B489" s="3"/>
    </row>
    <row r="490" spans="2:2" ht="14.25" customHeight="1" x14ac:dyDescent="0.35">
      <c r="B490" s="3"/>
    </row>
    <row r="491" spans="2:2" ht="14.25" customHeight="1" x14ac:dyDescent="0.35">
      <c r="B491" s="3"/>
    </row>
    <row r="492" spans="2:2" ht="14.25" customHeight="1" x14ac:dyDescent="0.35">
      <c r="B492" s="3"/>
    </row>
    <row r="493" spans="2:2" ht="14.25" customHeight="1" x14ac:dyDescent="0.35">
      <c r="B493" s="3"/>
    </row>
    <row r="494" spans="2:2" ht="14.25" customHeight="1" x14ac:dyDescent="0.35">
      <c r="B494" s="3"/>
    </row>
    <row r="495" spans="2:2" ht="14.25" customHeight="1" x14ac:dyDescent="0.35">
      <c r="B495" s="3"/>
    </row>
    <row r="496" spans="2:2" ht="14.25" customHeight="1" x14ac:dyDescent="0.35">
      <c r="B496" s="3"/>
    </row>
    <row r="497" spans="2:2" ht="14.25" customHeight="1" x14ac:dyDescent="0.35">
      <c r="B497" s="3"/>
    </row>
    <row r="498" spans="2:2" ht="14.25" customHeight="1" x14ac:dyDescent="0.35">
      <c r="B498" s="3"/>
    </row>
    <row r="499" spans="2:2" ht="14.25" customHeight="1" x14ac:dyDescent="0.35">
      <c r="B499" s="3"/>
    </row>
    <row r="500" spans="2:2" ht="14.25" customHeight="1" x14ac:dyDescent="0.35">
      <c r="B500" s="3"/>
    </row>
    <row r="501" spans="2:2" ht="14.25" customHeight="1" x14ac:dyDescent="0.35">
      <c r="B501" s="3"/>
    </row>
    <row r="502" spans="2:2" ht="14.25" customHeight="1" x14ac:dyDescent="0.35">
      <c r="B502" s="3"/>
    </row>
    <row r="503" spans="2:2" ht="14.25" customHeight="1" x14ac:dyDescent="0.35">
      <c r="B503" s="3"/>
    </row>
    <row r="504" spans="2:2" ht="14.25" customHeight="1" x14ac:dyDescent="0.35">
      <c r="B504" s="3"/>
    </row>
    <row r="505" spans="2:2" ht="14.25" customHeight="1" x14ac:dyDescent="0.35">
      <c r="B505" s="3"/>
    </row>
    <row r="506" spans="2:2" ht="14.25" customHeight="1" x14ac:dyDescent="0.35">
      <c r="B506" s="3"/>
    </row>
    <row r="507" spans="2:2" ht="14.25" customHeight="1" x14ac:dyDescent="0.35">
      <c r="B507" s="3"/>
    </row>
    <row r="508" spans="2:2" ht="14.25" customHeight="1" x14ac:dyDescent="0.35">
      <c r="B508" s="3"/>
    </row>
    <row r="509" spans="2:2" ht="14.25" customHeight="1" x14ac:dyDescent="0.35">
      <c r="B509" s="3"/>
    </row>
    <row r="510" spans="2:2" ht="14.25" customHeight="1" x14ac:dyDescent="0.35">
      <c r="B510" s="3"/>
    </row>
    <row r="511" spans="2:2" ht="14.25" customHeight="1" x14ac:dyDescent="0.35">
      <c r="B511" s="3"/>
    </row>
    <row r="512" spans="2:2" ht="14.25" customHeight="1" x14ac:dyDescent="0.35">
      <c r="B512" s="3"/>
    </row>
    <row r="513" spans="2:2" ht="14.25" customHeight="1" x14ac:dyDescent="0.35">
      <c r="B513" s="3"/>
    </row>
    <row r="514" spans="2:2" ht="14.25" customHeight="1" x14ac:dyDescent="0.35">
      <c r="B514" s="3"/>
    </row>
    <row r="515" spans="2:2" ht="14.25" customHeight="1" x14ac:dyDescent="0.35">
      <c r="B515" s="3"/>
    </row>
    <row r="516" spans="2:2" ht="14.25" customHeight="1" x14ac:dyDescent="0.35">
      <c r="B516" s="3"/>
    </row>
    <row r="517" spans="2:2" ht="14.25" customHeight="1" x14ac:dyDescent="0.35">
      <c r="B517" s="3"/>
    </row>
    <row r="518" spans="2:2" ht="14.25" customHeight="1" x14ac:dyDescent="0.35">
      <c r="B518" s="3"/>
    </row>
    <row r="519" spans="2:2" ht="14.25" customHeight="1" x14ac:dyDescent="0.35">
      <c r="B519" s="3"/>
    </row>
    <row r="520" spans="2:2" ht="14.25" customHeight="1" x14ac:dyDescent="0.35">
      <c r="B520" s="3"/>
    </row>
    <row r="521" spans="2:2" ht="14.25" customHeight="1" x14ac:dyDescent="0.35">
      <c r="B521" s="3"/>
    </row>
    <row r="522" spans="2:2" ht="14.25" customHeight="1" x14ac:dyDescent="0.35">
      <c r="B522" s="3"/>
    </row>
    <row r="523" spans="2:2" ht="14.25" customHeight="1" x14ac:dyDescent="0.35">
      <c r="B523" s="3"/>
    </row>
    <row r="524" spans="2:2" ht="14.25" customHeight="1" x14ac:dyDescent="0.35">
      <c r="B524" s="3"/>
    </row>
    <row r="525" spans="2:2" ht="14.25" customHeight="1" x14ac:dyDescent="0.35">
      <c r="B525" s="3"/>
    </row>
    <row r="526" spans="2:2" ht="14.25" customHeight="1" x14ac:dyDescent="0.35">
      <c r="B526" s="3"/>
    </row>
    <row r="527" spans="2:2" ht="14.25" customHeight="1" x14ac:dyDescent="0.35">
      <c r="B527" s="3"/>
    </row>
    <row r="528" spans="2:2" ht="14.25" customHeight="1" x14ac:dyDescent="0.35">
      <c r="B528" s="3"/>
    </row>
    <row r="529" spans="2:2" ht="14.25" customHeight="1" x14ac:dyDescent="0.35">
      <c r="B529" s="3"/>
    </row>
    <row r="530" spans="2:2" ht="14.25" customHeight="1" x14ac:dyDescent="0.35">
      <c r="B530" s="3"/>
    </row>
    <row r="531" spans="2:2" ht="14.25" customHeight="1" x14ac:dyDescent="0.35">
      <c r="B531" s="3"/>
    </row>
    <row r="532" spans="2:2" ht="14.25" customHeight="1" x14ac:dyDescent="0.35">
      <c r="B532" s="3"/>
    </row>
    <row r="533" spans="2:2" ht="14.25" customHeight="1" x14ac:dyDescent="0.35">
      <c r="B533" s="3"/>
    </row>
    <row r="534" spans="2:2" ht="14.25" customHeight="1" x14ac:dyDescent="0.35">
      <c r="B534" s="3"/>
    </row>
    <row r="535" spans="2:2" ht="14.25" customHeight="1" x14ac:dyDescent="0.35">
      <c r="B535" s="3"/>
    </row>
    <row r="536" spans="2:2" ht="14.25" customHeight="1" x14ac:dyDescent="0.35">
      <c r="B536" s="3"/>
    </row>
    <row r="537" spans="2:2" ht="14.25" customHeight="1" x14ac:dyDescent="0.35">
      <c r="B537" s="3"/>
    </row>
    <row r="538" spans="2:2" ht="14.25" customHeight="1" x14ac:dyDescent="0.35">
      <c r="B538" s="3"/>
    </row>
    <row r="539" spans="2:2" ht="14.25" customHeight="1" x14ac:dyDescent="0.35">
      <c r="B539" s="3"/>
    </row>
    <row r="540" spans="2:2" ht="14.25" customHeight="1" x14ac:dyDescent="0.35">
      <c r="B540" s="3"/>
    </row>
    <row r="541" spans="2:2" ht="14.25" customHeight="1" x14ac:dyDescent="0.35">
      <c r="B541" s="3"/>
    </row>
    <row r="542" spans="2:2" ht="14.25" customHeight="1" x14ac:dyDescent="0.35">
      <c r="B542" s="3"/>
    </row>
    <row r="543" spans="2:2" ht="14.25" customHeight="1" x14ac:dyDescent="0.35">
      <c r="B543" s="3"/>
    </row>
    <row r="544" spans="2:2" ht="14.25" customHeight="1" x14ac:dyDescent="0.35">
      <c r="B544" s="3"/>
    </row>
    <row r="545" spans="2:2" ht="14.25" customHeight="1" x14ac:dyDescent="0.35">
      <c r="B545" s="3"/>
    </row>
    <row r="546" spans="2:2" ht="14.25" customHeight="1" x14ac:dyDescent="0.35">
      <c r="B546" s="3"/>
    </row>
    <row r="547" spans="2:2" ht="14.25" customHeight="1" x14ac:dyDescent="0.35">
      <c r="B547" s="3"/>
    </row>
    <row r="548" spans="2:2" ht="14.25" customHeight="1" x14ac:dyDescent="0.35">
      <c r="B548" s="3"/>
    </row>
    <row r="549" spans="2:2" ht="14.25" customHeight="1" x14ac:dyDescent="0.35">
      <c r="B549" s="3"/>
    </row>
    <row r="550" spans="2:2" ht="14.25" customHeight="1" x14ac:dyDescent="0.35">
      <c r="B550" s="3"/>
    </row>
    <row r="551" spans="2:2" ht="14.25" customHeight="1" x14ac:dyDescent="0.35">
      <c r="B551" s="3"/>
    </row>
    <row r="552" spans="2:2" ht="14.25" customHeight="1" x14ac:dyDescent="0.35">
      <c r="B552" s="3"/>
    </row>
    <row r="553" spans="2:2" ht="14.25" customHeight="1" x14ac:dyDescent="0.35">
      <c r="B553" s="3"/>
    </row>
    <row r="554" spans="2:2" ht="14.25" customHeight="1" x14ac:dyDescent="0.35">
      <c r="B554" s="3"/>
    </row>
    <row r="555" spans="2:2" ht="14.25" customHeight="1" x14ac:dyDescent="0.35">
      <c r="B555" s="3"/>
    </row>
    <row r="556" spans="2:2" ht="14.25" customHeight="1" x14ac:dyDescent="0.35">
      <c r="B556" s="3"/>
    </row>
    <row r="557" spans="2:2" ht="14.25" customHeight="1" x14ac:dyDescent="0.35">
      <c r="B557" s="3"/>
    </row>
    <row r="558" spans="2:2" ht="14.25" customHeight="1" x14ac:dyDescent="0.35">
      <c r="B558" s="3"/>
    </row>
    <row r="559" spans="2:2" ht="14.25" customHeight="1" x14ac:dyDescent="0.35">
      <c r="B559" s="3"/>
    </row>
    <row r="560" spans="2:2" ht="14.25" customHeight="1" x14ac:dyDescent="0.35">
      <c r="B560" s="3"/>
    </row>
    <row r="561" spans="2:2" ht="14.25" customHeight="1" x14ac:dyDescent="0.35">
      <c r="B561" s="3"/>
    </row>
    <row r="562" spans="2:2" ht="14.25" customHeight="1" x14ac:dyDescent="0.35">
      <c r="B562" s="3"/>
    </row>
    <row r="563" spans="2:2" ht="14.25" customHeight="1" x14ac:dyDescent="0.35">
      <c r="B563" s="3"/>
    </row>
    <row r="564" spans="2:2" ht="14.25" customHeight="1" x14ac:dyDescent="0.35">
      <c r="B564" s="3"/>
    </row>
    <row r="565" spans="2:2" ht="14.25" customHeight="1" x14ac:dyDescent="0.35">
      <c r="B565" s="3"/>
    </row>
    <row r="566" spans="2:2" ht="14.25" customHeight="1" x14ac:dyDescent="0.35">
      <c r="B566" s="3"/>
    </row>
    <row r="567" spans="2:2" ht="14.25" customHeight="1" x14ac:dyDescent="0.35">
      <c r="B567" s="3"/>
    </row>
    <row r="568" spans="2:2" ht="14.25" customHeight="1" x14ac:dyDescent="0.35">
      <c r="B568" s="3"/>
    </row>
    <row r="569" spans="2:2" ht="14.25" customHeight="1" x14ac:dyDescent="0.35">
      <c r="B569" s="3"/>
    </row>
    <row r="570" spans="2:2" ht="14.25" customHeight="1" x14ac:dyDescent="0.35">
      <c r="B570" s="3"/>
    </row>
    <row r="571" spans="2:2" ht="14.25" customHeight="1" x14ac:dyDescent="0.35">
      <c r="B571" s="3"/>
    </row>
    <row r="572" spans="2:2" ht="14.25" customHeight="1" x14ac:dyDescent="0.35">
      <c r="B572" s="3"/>
    </row>
    <row r="573" spans="2:2" ht="14.25" customHeight="1" x14ac:dyDescent="0.35">
      <c r="B573" s="3"/>
    </row>
    <row r="574" spans="2:2" ht="14.25" customHeight="1" x14ac:dyDescent="0.35">
      <c r="B574" s="3"/>
    </row>
    <row r="575" spans="2:2" ht="14.25" customHeight="1" x14ac:dyDescent="0.35">
      <c r="B575" s="3"/>
    </row>
    <row r="576" spans="2:2" ht="14.25" customHeight="1" x14ac:dyDescent="0.35">
      <c r="B576" s="3"/>
    </row>
    <row r="577" spans="2:2" ht="14.25" customHeight="1" x14ac:dyDescent="0.35">
      <c r="B577" s="3"/>
    </row>
    <row r="578" spans="2:2" ht="14.25" customHeight="1" x14ac:dyDescent="0.35">
      <c r="B578" s="3"/>
    </row>
    <row r="579" spans="2:2" ht="14.25" customHeight="1" x14ac:dyDescent="0.35">
      <c r="B579" s="3"/>
    </row>
    <row r="580" spans="2:2" ht="14.25" customHeight="1" x14ac:dyDescent="0.35">
      <c r="B580" s="3"/>
    </row>
    <row r="581" spans="2:2" ht="14.25" customHeight="1" x14ac:dyDescent="0.35">
      <c r="B581" s="3"/>
    </row>
    <row r="582" spans="2:2" ht="14.25" customHeight="1" x14ac:dyDescent="0.35">
      <c r="B582" s="3"/>
    </row>
    <row r="583" spans="2:2" ht="14.25" customHeight="1" x14ac:dyDescent="0.35">
      <c r="B583" s="3"/>
    </row>
    <row r="584" spans="2:2" ht="14.25" customHeight="1" x14ac:dyDescent="0.35">
      <c r="B584" s="3"/>
    </row>
    <row r="585" spans="2:2" ht="14.25" customHeight="1" x14ac:dyDescent="0.35">
      <c r="B585" s="3"/>
    </row>
    <row r="586" spans="2:2" ht="14.25" customHeight="1" x14ac:dyDescent="0.35">
      <c r="B586" s="3"/>
    </row>
    <row r="587" spans="2:2" ht="14.25" customHeight="1" x14ac:dyDescent="0.35">
      <c r="B587" s="3"/>
    </row>
    <row r="588" spans="2:2" ht="14.25" customHeight="1" x14ac:dyDescent="0.35">
      <c r="B588" s="3"/>
    </row>
    <row r="589" spans="2:2" ht="14.25" customHeight="1" x14ac:dyDescent="0.35">
      <c r="B589" s="3"/>
    </row>
    <row r="590" spans="2:2" ht="14.25" customHeight="1" x14ac:dyDescent="0.35">
      <c r="B590" s="3"/>
    </row>
    <row r="591" spans="2:2" ht="14.25" customHeight="1" x14ac:dyDescent="0.35">
      <c r="B591" s="3"/>
    </row>
    <row r="592" spans="2:2" ht="14.25" customHeight="1" x14ac:dyDescent="0.35">
      <c r="B592" s="3"/>
    </row>
    <row r="593" spans="2:2" ht="14.25" customHeight="1" x14ac:dyDescent="0.35">
      <c r="B593" s="3"/>
    </row>
    <row r="594" spans="2:2" ht="14.25" customHeight="1" x14ac:dyDescent="0.35">
      <c r="B594" s="3"/>
    </row>
    <row r="595" spans="2:2" ht="14.25" customHeight="1" x14ac:dyDescent="0.35">
      <c r="B595" s="3"/>
    </row>
    <row r="596" spans="2:2" ht="14.25" customHeight="1" x14ac:dyDescent="0.35">
      <c r="B596" s="3"/>
    </row>
    <row r="597" spans="2:2" ht="14.25" customHeight="1" x14ac:dyDescent="0.35">
      <c r="B597" s="3"/>
    </row>
    <row r="598" spans="2:2" ht="14.25" customHeight="1" x14ac:dyDescent="0.35">
      <c r="B598" s="3"/>
    </row>
    <row r="599" spans="2:2" ht="14.25" customHeight="1" x14ac:dyDescent="0.35">
      <c r="B599" s="3"/>
    </row>
    <row r="600" spans="2:2" ht="14.25" customHeight="1" x14ac:dyDescent="0.35">
      <c r="B600" s="3"/>
    </row>
    <row r="601" spans="2:2" ht="14.25" customHeight="1" x14ac:dyDescent="0.35">
      <c r="B601" s="3"/>
    </row>
    <row r="602" spans="2:2" ht="14.25" customHeight="1" x14ac:dyDescent="0.35">
      <c r="B602" s="3"/>
    </row>
    <row r="603" spans="2:2" ht="14.25" customHeight="1" x14ac:dyDescent="0.35">
      <c r="B603" s="3"/>
    </row>
    <row r="604" spans="2:2" ht="14.25" customHeight="1" x14ac:dyDescent="0.35">
      <c r="B604" s="3"/>
    </row>
    <row r="605" spans="2:2" ht="14.25" customHeight="1" x14ac:dyDescent="0.35">
      <c r="B605" s="3"/>
    </row>
    <row r="606" spans="2:2" ht="14.25" customHeight="1" x14ac:dyDescent="0.35">
      <c r="B606" s="3"/>
    </row>
    <row r="607" spans="2:2" ht="14.25" customHeight="1" x14ac:dyDescent="0.35">
      <c r="B607" s="3"/>
    </row>
    <row r="608" spans="2:2" ht="14.25" customHeight="1" x14ac:dyDescent="0.35">
      <c r="B608" s="3"/>
    </row>
    <row r="609" spans="2:2" ht="14.25" customHeight="1" x14ac:dyDescent="0.35">
      <c r="B609" s="3"/>
    </row>
    <row r="610" spans="2:2" ht="14.25" customHeight="1" x14ac:dyDescent="0.35">
      <c r="B610" s="3"/>
    </row>
    <row r="611" spans="2:2" ht="14.25" customHeight="1" x14ac:dyDescent="0.35">
      <c r="B611" s="3"/>
    </row>
    <row r="612" spans="2:2" ht="14.25" customHeight="1" x14ac:dyDescent="0.35">
      <c r="B612" s="3"/>
    </row>
    <row r="613" spans="2:2" ht="14.25" customHeight="1" x14ac:dyDescent="0.35">
      <c r="B613" s="3"/>
    </row>
    <row r="614" spans="2:2" ht="14.25" customHeight="1" x14ac:dyDescent="0.35">
      <c r="B614" s="3"/>
    </row>
    <row r="615" spans="2:2" ht="14.25" customHeight="1" x14ac:dyDescent="0.35">
      <c r="B615" s="3"/>
    </row>
    <row r="616" spans="2:2" ht="14.25" customHeight="1" x14ac:dyDescent="0.35">
      <c r="B616" s="3"/>
    </row>
    <row r="617" spans="2:2" ht="14.25" customHeight="1" x14ac:dyDescent="0.35">
      <c r="B617" s="3"/>
    </row>
    <row r="618" spans="2:2" ht="14.25" customHeight="1" x14ac:dyDescent="0.35">
      <c r="B618" s="3"/>
    </row>
    <row r="619" spans="2:2" ht="14.25" customHeight="1" x14ac:dyDescent="0.35">
      <c r="B619" s="3"/>
    </row>
    <row r="620" spans="2:2" ht="14.25" customHeight="1" x14ac:dyDescent="0.35">
      <c r="B620" s="3"/>
    </row>
    <row r="621" spans="2:2" ht="14.25" customHeight="1" x14ac:dyDescent="0.35">
      <c r="B621" s="3"/>
    </row>
    <row r="622" spans="2:2" ht="14.25" customHeight="1" x14ac:dyDescent="0.35">
      <c r="B622" s="3"/>
    </row>
    <row r="623" spans="2:2" ht="14.25" customHeight="1" x14ac:dyDescent="0.35">
      <c r="B623" s="3"/>
    </row>
    <row r="624" spans="2:2" ht="14.25" customHeight="1" x14ac:dyDescent="0.35">
      <c r="B624" s="3"/>
    </row>
    <row r="625" spans="2:2" ht="14.25" customHeight="1" x14ac:dyDescent="0.35">
      <c r="B625" s="3"/>
    </row>
    <row r="626" spans="2:2" ht="14.25" customHeight="1" x14ac:dyDescent="0.35">
      <c r="B626" s="3"/>
    </row>
    <row r="627" spans="2:2" ht="14.25" customHeight="1" x14ac:dyDescent="0.35">
      <c r="B627" s="3"/>
    </row>
    <row r="628" spans="2:2" ht="14.25" customHeight="1" x14ac:dyDescent="0.35">
      <c r="B628" s="3"/>
    </row>
    <row r="629" spans="2:2" ht="14.25" customHeight="1" x14ac:dyDescent="0.35">
      <c r="B629" s="3"/>
    </row>
    <row r="630" spans="2:2" ht="14.25" customHeight="1" x14ac:dyDescent="0.35">
      <c r="B630" s="3"/>
    </row>
    <row r="631" spans="2:2" ht="14.25" customHeight="1" x14ac:dyDescent="0.35">
      <c r="B631" s="3"/>
    </row>
    <row r="632" spans="2:2" ht="14.25" customHeight="1" x14ac:dyDescent="0.35">
      <c r="B632" s="3"/>
    </row>
    <row r="633" spans="2:2" ht="14.25" customHeight="1" x14ac:dyDescent="0.35">
      <c r="B633" s="3"/>
    </row>
    <row r="634" spans="2:2" ht="14.25" customHeight="1" x14ac:dyDescent="0.35">
      <c r="B634" s="3"/>
    </row>
    <row r="635" spans="2:2" ht="14.25" customHeight="1" x14ac:dyDescent="0.35">
      <c r="B635" s="3"/>
    </row>
    <row r="636" spans="2:2" ht="14.25" customHeight="1" x14ac:dyDescent="0.35">
      <c r="B636" s="3"/>
    </row>
    <row r="637" spans="2:2" ht="14.25" customHeight="1" x14ac:dyDescent="0.35">
      <c r="B637" s="3"/>
    </row>
    <row r="638" spans="2:2" ht="14.25" customHeight="1" x14ac:dyDescent="0.35">
      <c r="B638" s="3"/>
    </row>
    <row r="639" spans="2:2" ht="14.25" customHeight="1" x14ac:dyDescent="0.35">
      <c r="B639" s="3"/>
    </row>
    <row r="640" spans="2:2" ht="14.25" customHeight="1" x14ac:dyDescent="0.35">
      <c r="B640" s="3"/>
    </row>
    <row r="641" spans="2:2" ht="14.25" customHeight="1" x14ac:dyDescent="0.35">
      <c r="B641" s="3"/>
    </row>
    <row r="642" spans="2:2" ht="14.25" customHeight="1" x14ac:dyDescent="0.35">
      <c r="B642" s="3"/>
    </row>
    <row r="643" spans="2:2" ht="14.25" customHeight="1" x14ac:dyDescent="0.35">
      <c r="B643" s="3"/>
    </row>
    <row r="644" spans="2:2" ht="14.25" customHeight="1" x14ac:dyDescent="0.35">
      <c r="B644" s="3"/>
    </row>
    <row r="645" spans="2:2" ht="14.25" customHeight="1" x14ac:dyDescent="0.35">
      <c r="B645" s="3"/>
    </row>
    <row r="646" spans="2:2" ht="14.25" customHeight="1" x14ac:dyDescent="0.35">
      <c r="B646" s="3"/>
    </row>
    <row r="647" spans="2:2" ht="14.25" customHeight="1" x14ac:dyDescent="0.35">
      <c r="B647" s="3"/>
    </row>
    <row r="648" spans="2:2" ht="14.25" customHeight="1" x14ac:dyDescent="0.35">
      <c r="B648" s="3"/>
    </row>
    <row r="649" spans="2:2" ht="14.25" customHeight="1" x14ac:dyDescent="0.35">
      <c r="B649" s="3"/>
    </row>
    <row r="650" spans="2:2" ht="14.25" customHeight="1" x14ac:dyDescent="0.35">
      <c r="B650" s="3"/>
    </row>
    <row r="651" spans="2:2" ht="14.25" customHeight="1" x14ac:dyDescent="0.35">
      <c r="B651" s="3"/>
    </row>
    <row r="652" spans="2:2" ht="14.25" customHeight="1" x14ac:dyDescent="0.35">
      <c r="B652" s="3"/>
    </row>
    <row r="653" spans="2:2" ht="14.25" customHeight="1" x14ac:dyDescent="0.35">
      <c r="B653" s="3"/>
    </row>
    <row r="654" spans="2:2" ht="14.25" customHeight="1" x14ac:dyDescent="0.35">
      <c r="B654" s="3"/>
    </row>
    <row r="655" spans="2:2" ht="14.25" customHeight="1" x14ac:dyDescent="0.35">
      <c r="B655" s="3"/>
    </row>
    <row r="656" spans="2:2" ht="14.25" customHeight="1" x14ac:dyDescent="0.35">
      <c r="B656" s="3"/>
    </row>
    <row r="657" spans="2:2" ht="14.25" customHeight="1" x14ac:dyDescent="0.35">
      <c r="B657" s="3"/>
    </row>
    <row r="658" spans="2:2" ht="14.25" customHeight="1" x14ac:dyDescent="0.35">
      <c r="B658" s="3"/>
    </row>
    <row r="659" spans="2:2" ht="14.25" customHeight="1" x14ac:dyDescent="0.35">
      <c r="B659" s="3"/>
    </row>
    <row r="660" spans="2:2" ht="14.25" customHeight="1" x14ac:dyDescent="0.35">
      <c r="B660" s="3"/>
    </row>
    <row r="661" spans="2:2" ht="14.25" customHeight="1" x14ac:dyDescent="0.35">
      <c r="B661" s="3"/>
    </row>
    <row r="662" spans="2:2" ht="14.25" customHeight="1" x14ac:dyDescent="0.35">
      <c r="B662" s="3"/>
    </row>
    <row r="663" spans="2:2" ht="14.25" customHeight="1" x14ac:dyDescent="0.35">
      <c r="B663" s="3"/>
    </row>
    <row r="664" spans="2:2" ht="14.25" customHeight="1" x14ac:dyDescent="0.35">
      <c r="B664" s="3"/>
    </row>
    <row r="665" spans="2:2" ht="14.25" customHeight="1" x14ac:dyDescent="0.35">
      <c r="B665" s="3"/>
    </row>
    <row r="666" spans="2:2" ht="14.25" customHeight="1" x14ac:dyDescent="0.35">
      <c r="B666" s="3"/>
    </row>
    <row r="667" spans="2:2" ht="14.25" customHeight="1" x14ac:dyDescent="0.35">
      <c r="B667" s="3"/>
    </row>
    <row r="668" spans="2:2" ht="14.25" customHeight="1" x14ac:dyDescent="0.35">
      <c r="B668" s="3"/>
    </row>
    <row r="669" spans="2:2" ht="14.25" customHeight="1" x14ac:dyDescent="0.35">
      <c r="B669" s="3"/>
    </row>
    <row r="670" spans="2:2" ht="14.25" customHeight="1" x14ac:dyDescent="0.35">
      <c r="B670" s="3"/>
    </row>
    <row r="671" spans="2:2" ht="14.25" customHeight="1" x14ac:dyDescent="0.35">
      <c r="B671" s="3"/>
    </row>
    <row r="672" spans="2:2" ht="14.25" customHeight="1" x14ac:dyDescent="0.35">
      <c r="B672" s="3"/>
    </row>
    <row r="673" spans="2:2" ht="14.25" customHeight="1" x14ac:dyDescent="0.35">
      <c r="B673" s="3"/>
    </row>
    <row r="674" spans="2:2" ht="14.25" customHeight="1" x14ac:dyDescent="0.35">
      <c r="B674" s="3"/>
    </row>
    <row r="675" spans="2:2" ht="14.25" customHeight="1" x14ac:dyDescent="0.35">
      <c r="B675" s="3"/>
    </row>
    <row r="676" spans="2:2" ht="14.25" customHeight="1" x14ac:dyDescent="0.35">
      <c r="B676" s="3"/>
    </row>
    <row r="677" spans="2:2" ht="14.25" customHeight="1" x14ac:dyDescent="0.35">
      <c r="B677" s="3"/>
    </row>
    <row r="678" spans="2:2" ht="14.25" customHeight="1" x14ac:dyDescent="0.35">
      <c r="B678" s="3"/>
    </row>
    <row r="679" spans="2:2" ht="14.25" customHeight="1" x14ac:dyDescent="0.35">
      <c r="B679" s="3"/>
    </row>
    <row r="680" spans="2:2" ht="14.25" customHeight="1" x14ac:dyDescent="0.35">
      <c r="B680" s="3"/>
    </row>
    <row r="681" spans="2:2" ht="14.25" customHeight="1" x14ac:dyDescent="0.35">
      <c r="B681" s="3"/>
    </row>
    <row r="682" spans="2:2" ht="14.25" customHeight="1" x14ac:dyDescent="0.35">
      <c r="B682" s="3"/>
    </row>
    <row r="683" spans="2:2" ht="14.25" customHeight="1" x14ac:dyDescent="0.35">
      <c r="B683" s="3"/>
    </row>
    <row r="684" spans="2:2" ht="14.25" customHeight="1" x14ac:dyDescent="0.35">
      <c r="B684" s="3"/>
    </row>
    <row r="685" spans="2:2" ht="14.25" customHeight="1" x14ac:dyDescent="0.35">
      <c r="B685" s="3"/>
    </row>
    <row r="686" spans="2:2" ht="14.25" customHeight="1" x14ac:dyDescent="0.35">
      <c r="B686" s="3"/>
    </row>
    <row r="687" spans="2:2" ht="14.25" customHeight="1" x14ac:dyDescent="0.35">
      <c r="B687" s="3"/>
    </row>
    <row r="688" spans="2:2" ht="14.25" customHeight="1" x14ac:dyDescent="0.35">
      <c r="B688" s="3"/>
    </row>
    <row r="689" spans="2:2" ht="14.25" customHeight="1" x14ac:dyDescent="0.35">
      <c r="B689" s="3"/>
    </row>
    <row r="690" spans="2:2" ht="14.25" customHeight="1" x14ac:dyDescent="0.35">
      <c r="B690" s="3"/>
    </row>
    <row r="691" spans="2:2" ht="14.25" customHeight="1" x14ac:dyDescent="0.35">
      <c r="B691" s="3"/>
    </row>
    <row r="692" spans="2:2" ht="14.25" customHeight="1" x14ac:dyDescent="0.35">
      <c r="B692" s="3"/>
    </row>
    <row r="693" spans="2:2" ht="14.25" customHeight="1" x14ac:dyDescent="0.35">
      <c r="B693" s="3"/>
    </row>
    <row r="694" spans="2:2" ht="14.25" customHeight="1" x14ac:dyDescent="0.35">
      <c r="B694" s="3"/>
    </row>
    <row r="695" spans="2:2" ht="14.25" customHeight="1" x14ac:dyDescent="0.35">
      <c r="B695" s="3"/>
    </row>
    <row r="696" spans="2:2" ht="14.25" customHeight="1" x14ac:dyDescent="0.35">
      <c r="B696" s="3"/>
    </row>
    <row r="697" spans="2:2" ht="14.25" customHeight="1" x14ac:dyDescent="0.35">
      <c r="B697" s="3"/>
    </row>
    <row r="698" spans="2:2" ht="14.25" customHeight="1" x14ac:dyDescent="0.35">
      <c r="B698" s="3"/>
    </row>
    <row r="699" spans="2:2" ht="14.25" customHeight="1" x14ac:dyDescent="0.35">
      <c r="B699" s="3"/>
    </row>
    <row r="700" spans="2:2" ht="14.25" customHeight="1" x14ac:dyDescent="0.35">
      <c r="B700" s="3"/>
    </row>
    <row r="701" spans="2:2" ht="14.25" customHeight="1" x14ac:dyDescent="0.35">
      <c r="B701" s="3"/>
    </row>
    <row r="702" spans="2:2" ht="14.25" customHeight="1" x14ac:dyDescent="0.35">
      <c r="B702" s="3"/>
    </row>
    <row r="703" spans="2:2" ht="14.25" customHeight="1" x14ac:dyDescent="0.35">
      <c r="B703" s="3"/>
    </row>
    <row r="704" spans="2:2" ht="14.25" customHeight="1" x14ac:dyDescent="0.35">
      <c r="B704" s="3"/>
    </row>
    <row r="705" spans="2:2" ht="14.25" customHeight="1" x14ac:dyDescent="0.35">
      <c r="B705" s="3"/>
    </row>
    <row r="706" spans="2:2" ht="14.25" customHeight="1" x14ac:dyDescent="0.35">
      <c r="B706" s="3"/>
    </row>
    <row r="707" spans="2:2" ht="14.25" customHeight="1" x14ac:dyDescent="0.35">
      <c r="B707" s="3"/>
    </row>
    <row r="708" spans="2:2" ht="14.25" customHeight="1" x14ac:dyDescent="0.35">
      <c r="B708" s="3"/>
    </row>
    <row r="709" spans="2:2" ht="14.25" customHeight="1" x14ac:dyDescent="0.35">
      <c r="B709" s="3"/>
    </row>
    <row r="710" spans="2:2" ht="14.25" customHeight="1" x14ac:dyDescent="0.35">
      <c r="B710" s="3"/>
    </row>
    <row r="711" spans="2:2" ht="14.25" customHeight="1" x14ac:dyDescent="0.35">
      <c r="B711" s="3"/>
    </row>
    <row r="712" spans="2:2" ht="14.25" customHeight="1" x14ac:dyDescent="0.35">
      <c r="B712" s="3"/>
    </row>
    <row r="713" spans="2:2" ht="14.25" customHeight="1" x14ac:dyDescent="0.35">
      <c r="B713" s="3"/>
    </row>
    <row r="714" spans="2:2" ht="14.25" customHeight="1" x14ac:dyDescent="0.35">
      <c r="B714" s="3"/>
    </row>
    <row r="715" spans="2:2" ht="14.25" customHeight="1" x14ac:dyDescent="0.35">
      <c r="B715" s="3"/>
    </row>
    <row r="716" spans="2:2" ht="14.25" customHeight="1" x14ac:dyDescent="0.35">
      <c r="B716" s="3"/>
    </row>
    <row r="717" spans="2:2" ht="14.25" customHeight="1" x14ac:dyDescent="0.35">
      <c r="B717" s="3"/>
    </row>
    <row r="718" spans="2:2" ht="14.25" customHeight="1" x14ac:dyDescent="0.35">
      <c r="B718" s="3"/>
    </row>
    <row r="719" spans="2:2" ht="14.25" customHeight="1" x14ac:dyDescent="0.35">
      <c r="B719" s="3"/>
    </row>
    <row r="720" spans="2:2" ht="14.25" customHeight="1" x14ac:dyDescent="0.35">
      <c r="B720" s="3"/>
    </row>
    <row r="721" spans="2:2" ht="14.25" customHeight="1" x14ac:dyDescent="0.35">
      <c r="B721" s="3"/>
    </row>
    <row r="722" spans="2:2" ht="14.25" customHeight="1" x14ac:dyDescent="0.35">
      <c r="B722" s="3"/>
    </row>
    <row r="723" spans="2:2" ht="14.25" customHeight="1" x14ac:dyDescent="0.35">
      <c r="B723" s="3"/>
    </row>
    <row r="724" spans="2:2" ht="14.25" customHeight="1" x14ac:dyDescent="0.35">
      <c r="B724" s="3"/>
    </row>
    <row r="725" spans="2:2" ht="14.25" customHeight="1" x14ac:dyDescent="0.35">
      <c r="B725" s="3"/>
    </row>
    <row r="726" spans="2:2" ht="14.25" customHeight="1" x14ac:dyDescent="0.35">
      <c r="B726" s="3"/>
    </row>
    <row r="727" spans="2:2" ht="14.25" customHeight="1" x14ac:dyDescent="0.35">
      <c r="B727" s="3"/>
    </row>
    <row r="728" spans="2:2" ht="14.25" customHeight="1" x14ac:dyDescent="0.35">
      <c r="B728" s="3"/>
    </row>
    <row r="729" spans="2:2" ht="14.25" customHeight="1" x14ac:dyDescent="0.35">
      <c r="B729" s="3"/>
    </row>
    <row r="730" spans="2:2" ht="14.25" customHeight="1" x14ac:dyDescent="0.35">
      <c r="B730" s="3"/>
    </row>
    <row r="731" spans="2:2" ht="14.25" customHeight="1" x14ac:dyDescent="0.35">
      <c r="B731" s="3"/>
    </row>
    <row r="732" spans="2:2" ht="14.25" customHeight="1" x14ac:dyDescent="0.35">
      <c r="B732" s="3"/>
    </row>
    <row r="733" spans="2:2" ht="14.25" customHeight="1" x14ac:dyDescent="0.35">
      <c r="B733" s="3"/>
    </row>
    <row r="734" spans="2:2" ht="14.25" customHeight="1" x14ac:dyDescent="0.35">
      <c r="B734" s="3"/>
    </row>
    <row r="735" spans="2:2" ht="14.25" customHeight="1" x14ac:dyDescent="0.35">
      <c r="B735" s="3"/>
    </row>
    <row r="736" spans="2:2" ht="14.25" customHeight="1" x14ac:dyDescent="0.35">
      <c r="B736" s="3"/>
    </row>
    <row r="737" spans="2:2" ht="14.25" customHeight="1" x14ac:dyDescent="0.35">
      <c r="B737" s="3"/>
    </row>
    <row r="738" spans="2:2" ht="14.25" customHeight="1" x14ac:dyDescent="0.35">
      <c r="B738" s="3"/>
    </row>
    <row r="739" spans="2:2" ht="14.25" customHeight="1" x14ac:dyDescent="0.35">
      <c r="B739" s="3"/>
    </row>
    <row r="740" spans="2:2" ht="14.25" customHeight="1" x14ac:dyDescent="0.35">
      <c r="B740" s="3"/>
    </row>
    <row r="741" spans="2:2" ht="14.25" customHeight="1" x14ac:dyDescent="0.35">
      <c r="B741" s="3"/>
    </row>
    <row r="742" spans="2:2" ht="14.25" customHeight="1" x14ac:dyDescent="0.35">
      <c r="B742" s="3"/>
    </row>
    <row r="743" spans="2:2" ht="14.25" customHeight="1" x14ac:dyDescent="0.35">
      <c r="B743" s="3"/>
    </row>
    <row r="744" spans="2:2" ht="14.25" customHeight="1" x14ac:dyDescent="0.35">
      <c r="B744" s="3"/>
    </row>
    <row r="745" spans="2:2" ht="14.25" customHeight="1" x14ac:dyDescent="0.35">
      <c r="B745" s="3"/>
    </row>
    <row r="746" spans="2:2" ht="14.25" customHeight="1" x14ac:dyDescent="0.35">
      <c r="B746" s="3"/>
    </row>
    <row r="747" spans="2:2" ht="14.25" customHeight="1" x14ac:dyDescent="0.35">
      <c r="B747" s="3"/>
    </row>
    <row r="748" spans="2:2" ht="14.25" customHeight="1" x14ac:dyDescent="0.35">
      <c r="B748" s="3"/>
    </row>
    <row r="749" spans="2:2" ht="14.25" customHeight="1" x14ac:dyDescent="0.35">
      <c r="B749" s="3"/>
    </row>
    <row r="750" spans="2:2" ht="14.25" customHeight="1" x14ac:dyDescent="0.35">
      <c r="B750" s="3"/>
    </row>
    <row r="751" spans="2:2" ht="14.25" customHeight="1" x14ac:dyDescent="0.35">
      <c r="B751" s="3"/>
    </row>
    <row r="752" spans="2:2" ht="14.25" customHeight="1" x14ac:dyDescent="0.35">
      <c r="B752" s="3"/>
    </row>
    <row r="753" spans="2:2" ht="14.25" customHeight="1" x14ac:dyDescent="0.35">
      <c r="B753" s="3"/>
    </row>
    <row r="754" spans="2:2" ht="14.25" customHeight="1" x14ac:dyDescent="0.35">
      <c r="B754" s="3"/>
    </row>
    <row r="755" spans="2:2" ht="14.25" customHeight="1" x14ac:dyDescent="0.35">
      <c r="B755" s="3"/>
    </row>
    <row r="756" spans="2:2" ht="14.25" customHeight="1" x14ac:dyDescent="0.35">
      <c r="B756" s="3"/>
    </row>
    <row r="757" spans="2:2" ht="14.25" customHeight="1" x14ac:dyDescent="0.35">
      <c r="B757" s="3"/>
    </row>
    <row r="758" spans="2:2" ht="14.25" customHeight="1" x14ac:dyDescent="0.35">
      <c r="B758" s="3"/>
    </row>
    <row r="759" spans="2:2" ht="14.25" customHeight="1" x14ac:dyDescent="0.35">
      <c r="B759" s="3"/>
    </row>
    <row r="760" spans="2:2" ht="14.25" customHeight="1" x14ac:dyDescent="0.35">
      <c r="B760" s="3"/>
    </row>
    <row r="761" spans="2:2" ht="14.25" customHeight="1" x14ac:dyDescent="0.35">
      <c r="B761" s="3"/>
    </row>
    <row r="762" spans="2:2" ht="14.25" customHeight="1" x14ac:dyDescent="0.35">
      <c r="B762" s="3"/>
    </row>
    <row r="763" spans="2:2" ht="14.25" customHeight="1" x14ac:dyDescent="0.35">
      <c r="B763" s="3"/>
    </row>
    <row r="764" spans="2:2" ht="14.25" customHeight="1" x14ac:dyDescent="0.35">
      <c r="B764" s="3"/>
    </row>
    <row r="765" spans="2:2" ht="14.25" customHeight="1" x14ac:dyDescent="0.35">
      <c r="B765" s="3"/>
    </row>
    <row r="766" spans="2:2" ht="14.25" customHeight="1" x14ac:dyDescent="0.35">
      <c r="B766" s="3"/>
    </row>
    <row r="767" spans="2:2" ht="14.25" customHeight="1" x14ac:dyDescent="0.35">
      <c r="B767" s="3"/>
    </row>
    <row r="768" spans="2:2" ht="14.25" customHeight="1" x14ac:dyDescent="0.35">
      <c r="B768" s="3"/>
    </row>
    <row r="769" spans="2:2" ht="14.25" customHeight="1" x14ac:dyDescent="0.35">
      <c r="B769" s="3"/>
    </row>
    <row r="770" spans="2:2" ht="14.25" customHeight="1" x14ac:dyDescent="0.35">
      <c r="B770" s="3"/>
    </row>
    <row r="771" spans="2:2" ht="14.25" customHeight="1" x14ac:dyDescent="0.35">
      <c r="B771" s="3"/>
    </row>
    <row r="772" spans="2:2" ht="14.25" customHeight="1" x14ac:dyDescent="0.35">
      <c r="B772" s="3"/>
    </row>
    <row r="773" spans="2:2" ht="14.25" customHeight="1" x14ac:dyDescent="0.35">
      <c r="B773" s="3"/>
    </row>
    <row r="774" spans="2:2" ht="14.25" customHeight="1" x14ac:dyDescent="0.35">
      <c r="B774" s="3"/>
    </row>
    <row r="775" spans="2:2" ht="14.25" customHeight="1" x14ac:dyDescent="0.35">
      <c r="B775" s="3"/>
    </row>
    <row r="776" spans="2:2" ht="14.25" customHeight="1" x14ac:dyDescent="0.35">
      <c r="B776" s="3"/>
    </row>
    <row r="777" spans="2:2" ht="14.25" customHeight="1" x14ac:dyDescent="0.35">
      <c r="B777" s="3"/>
    </row>
    <row r="778" spans="2:2" ht="14.25" customHeight="1" x14ac:dyDescent="0.35">
      <c r="B778" s="3"/>
    </row>
    <row r="779" spans="2:2" ht="14.25" customHeight="1" x14ac:dyDescent="0.35">
      <c r="B779" s="3"/>
    </row>
    <row r="780" spans="2:2" ht="14.25" customHeight="1" x14ac:dyDescent="0.35">
      <c r="B780" s="3"/>
    </row>
    <row r="781" spans="2:2" ht="14.25" customHeight="1" x14ac:dyDescent="0.35">
      <c r="B781" s="3"/>
    </row>
    <row r="782" spans="2:2" ht="14.25" customHeight="1" x14ac:dyDescent="0.35">
      <c r="B782" s="3"/>
    </row>
    <row r="783" spans="2:2" ht="14.25" customHeight="1" x14ac:dyDescent="0.35">
      <c r="B783" s="3"/>
    </row>
    <row r="784" spans="2:2" ht="14.25" customHeight="1" x14ac:dyDescent="0.35">
      <c r="B784" s="3"/>
    </row>
    <row r="785" spans="2:2" ht="14.25" customHeight="1" x14ac:dyDescent="0.35">
      <c r="B785" s="3"/>
    </row>
    <row r="786" spans="2:2" ht="14.25" customHeight="1" x14ac:dyDescent="0.35">
      <c r="B786" s="3"/>
    </row>
    <row r="787" spans="2:2" ht="14.25" customHeight="1" x14ac:dyDescent="0.35">
      <c r="B787" s="3"/>
    </row>
    <row r="788" spans="2:2" ht="14.25" customHeight="1" x14ac:dyDescent="0.35">
      <c r="B788" s="3"/>
    </row>
    <row r="789" spans="2:2" ht="14.25" customHeight="1" x14ac:dyDescent="0.35">
      <c r="B789" s="3"/>
    </row>
    <row r="790" spans="2:2" ht="14.25" customHeight="1" x14ac:dyDescent="0.35">
      <c r="B790" s="3"/>
    </row>
    <row r="791" spans="2:2" ht="14.25" customHeight="1" x14ac:dyDescent="0.35">
      <c r="B791" s="3"/>
    </row>
    <row r="792" spans="2:2" ht="14.25" customHeight="1" x14ac:dyDescent="0.35">
      <c r="B792" s="3"/>
    </row>
    <row r="793" spans="2:2" ht="14.25" customHeight="1" x14ac:dyDescent="0.35">
      <c r="B793" s="3"/>
    </row>
    <row r="794" spans="2:2" ht="14.25" customHeight="1" x14ac:dyDescent="0.35">
      <c r="B794" s="3"/>
    </row>
    <row r="795" spans="2:2" ht="14.25" customHeight="1" x14ac:dyDescent="0.35">
      <c r="B795" s="3"/>
    </row>
    <row r="796" spans="2:2" ht="14.25" customHeight="1" x14ac:dyDescent="0.35">
      <c r="B796" s="3"/>
    </row>
    <row r="797" spans="2:2" ht="14.25" customHeight="1" x14ac:dyDescent="0.35">
      <c r="B797" s="3"/>
    </row>
    <row r="798" spans="2:2" ht="14.25" customHeight="1" x14ac:dyDescent="0.35">
      <c r="B798" s="3"/>
    </row>
    <row r="799" spans="2:2" ht="14.25" customHeight="1" x14ac:dyDescent="0.35">
      <c r="B799" s="3"/>
    </row>
    <row r="800" spans="2:2" ht="14.25" customHeight="1" x14ac:dyDescent="0.35">
      <c r="B800" s="3"/>
    </row>
    <row r="801" spans="2:2" ht="14.25" customHeight="1" x14ac:dyDescent="0.35">
      <c r="B801" s="3"/>
    </row>
    <row r="802" spans="2:2" ht="14.25" customHeight="1" x14ac:dyDescent="0.35">
      <c r="B802" s="3"/>
    </row>
    <row r="803" spans="2:2" ht="14.25" customHeight="1" x14ac:dyDescent="0.35">
      <c r="B803" s="3"/>
    </row>
    <row r="804" spans="2:2" ht="14.25" customHeight="1" x14ac:dyDescent="0.35">
      <c r="B804" s="3"/>
    </row>
    <row r="805" spans="2:2" ht="14.25" customHeight="1" x14ac:dyDescent="0.35">
      <c r="B805" s="3"/>
    </row>
    <row r="806" spans="2:2" ht="14.25" customHeight="1" x14ac:dyDescent="0.35">
      <c r="B806" s="3"/>
    </row>
    <row r="807" spans="2:2" ht="14.25" customHeight="1" x14ac:dyDescent="0.35">
      <c r="B807" s="3"/>
    </row>
    <row r="808" spans="2:2" ht="14.25" customHeight="1" x14ac:dyDescent="0.35">
      <c r="B808" s="3"/>
    </row>
    <row r="809" spans="2:2" ht="14.25" customHeight="1" x14ac:dyDescent="0.35">
      <c r="B809" s="3"/>
    </row>
    <row r="810" spans="2:2" ht="14.25" customHeight="1" x14ac:dyDescent="0.35">
      <c r="B810" s="3"/>
    </row>
    <row r="811" spans="2:2" ht="14.25" customHeight="1" x14ac:dyDescent="0.35">
      <c r="B811" s="3"/>
    </row>
    <row r="812" spans="2:2" ht="14.25" customHeight="1" x14ac:dyDescent="0.35">
      <c r="B812" s="3"/>
    </row>
    <row r="813" spans="2:2" ht="14.25" customHeight="1" x14ac:dyDescent="0.35">
      <c r="B813" s="3"/>
    </row>
    <row r="814" spans="2:2" ht="14.25" customHeight="1" x14ac:dyDescent="0.35">
      <c r="B814" s="3"/>
    </row>
    <row r="815" spans="2:2" ht="14.25" customHeight="1" x14ac:dyDescent="0.35">
      <c r="B815" s="3"/>
    </row>
    <row r="816" spans="2:2" ht="14.25" customHeight="1" x14ac:dyDescent="0.35">
      <c r="B816" s="3"/>
    </row>
    <row r="817" spans="2:2" ht="14.25" customHeight="1" x14ac:dyDescent="0.35">
      <c r="B817" s="3"/>
    </row>
    <row r="818" spans="2:2" ht="14.25" customHeight="1" x14ac:dyDescent="0.35">
      <c r="B818" s="3"/>
    </row>
    <row r="819" spans="2:2" ht="14.25" customHeight="1" x14ac:dyDescent="0.35">
      <c r="B819" s="3"/>
    </row>
    <row r="820" spans="2:2" ht="14.25" customHeight="1" x14ac:dyDescent="0.35">
      <c r="B820" s="3"/>
    </row>
    <row r="821" spans="2:2" ht="14.25" customHeight="1" x14ac:dyDescent="0.35">
      <c r="B821" s="3"/>
    </row>
    <row r="822" spans="2:2" ht="14.25" customHeight="1" x14ac:dyDescent="0.35">
      <c r="B822" s="3"/>
    </row>
    <row r="823" spans="2:2" ht="14.25" customHeight="1" x14ac:dyDescent="0.35">
      <c r="B823" s="3"/>
    </row>
    <row r="824" spans="2:2" ht="14.25" customHeight="1" x14ac:dyDescent="0.35">
      <c r="B824" s="3"/>
    </row>
    <row r="825" spans="2:2" ht="14.25" customHeight="1" x14ac:dyDescent="0.35">
      <c r="B825" s="3"/>
    </row>
    <row r="826" spans="2:2" ht="14.25" customHeight="1" x14ac:dyDescent="0.35">
      <c r="B826" s="3"/>
    </row>
    <row r="827" spans="2:2" ht="14.25" customHeight="1" x14ac:dyDescent="0.35">
      <c r="B827" s="3"/>
    </row>
    <row r="828" spans="2:2" ht="14.25" customHeight="1" x14ac:dyDescent="0.35">
      <c r="B828" s="3"/>
    </row>
    <row r="829" spans="2:2" ht="14.25" customHeight="1" x14ac:dyDescent="0.35">
      <c r="B829" s="3"/>
    </row>
    <row r="830" spans="2:2" ht="14.25" customHeight="1" x14ac:dyDescent="0.35">
      <c r="B830" s="3"/>
    </row>
    <row r="831" spans="2:2" ht="14.25" customHeight="1" x14ac:dyDescent="0.35">
      <c r="B831" s="3"/>
    </row>
    <row r="832" spans="2:2" ht="14.25" customHeight="1" x14ac:dyDescent="0.35">
      <c r="B832" s="3"/>
    </row>
    <row r="833" spans="2:2" ht="14.25" customHeight="1" x14ac:dyDescent="0.35">
      <c r="B833" s="3"/>
    </row>
    <row r="834" spans="2:2" ht="14.25" customHeight="1" x14ac:dyDescent="0.35">
      <c r="B834" s="3"/>
    </row>
    <row r="835" spans="2:2" ht="14.25" customHeight="1" x14ac:dyDescent="0.35">
      <c r="B835" s="3"/>
    </row>
    <row r="836" spans="2:2" ht="14.25" customHeight="1" x14ac:dyDescent="0.35">
      <c r="B836" s="3"/>
    </row>
    <row r="837" spans="2:2" ht="14.25" customHeight="1" x14ac:dyDescent="0.35">
      <c r="B837" s="3"/>
    </row>
    <row r="838" spans="2:2" ht="14.25" customHeight="1" x14ac:dyDescent="0.35">
      <c r="B838" s="3"/>
    </row>
    <row r="839" spans="2:2" ht="14.25" customHeight="1" x14ac:dyDescent="0.35">
      <c r="B839" s="3"/>
    </row>
    <row r="840" spans="2:2" ht="14.25" customHeight="1" x14ac:dyDescent="0.35">
      <c r="B840" s="3"/>
    </row>
    <row r="841" spans="2:2" ht="14.25" customHeight="1" x14ac:dyDescent="0.35">
      <c r="B841" s="3"/>
    </row>
    <row r="842" spans="2:2" ht="14.25" customHeight="1" x14ac:dyDescent="0.35">
      <c r="B842" s="3"/>
    </row>
    <row r="843" spans="2:2" ht="14.25" customHeight="1" x14ac:dyDescent="0.35">
      <c r="B843" s="3"/>
    </row>
    <row r="844" spans="2:2" ht="14.25" customHeight="1" x14ac:dyDescent="0.35">
      <c r="B844" s="3"/>
    </row>
    <row r="845" spans="2:2" ht="14.25" customHeight="1" x14ac:dyDescent="0.35">
      <c r="B845" s="3"/>
    </row>
    <row r="846" spans="2:2" ht="14.25" customHeight="1" x14ac:dyDescent="0.35">
      <c r="B846" s="3"/>
    </row>
    <row r="847" spans="2:2" ht="14.25" customHeight="1" x14ac:dyDescent="0.35">
      <c r="B847" s="3"/>
    </row>
    <row r="848" spans="2:2" ht="14.25" customHeight="1" x14ac:dyDescent="0.35">
      <c r="B848" s="3"/>
    </row>
    <row r="849" spans="2:2" ht="14.25" customHeight="1" x14ac:dyDescent="0.35">
      <c r="B849" s="3"/>
    </row>
    <row r="850" spans="2:2" ht="14.25" customHeight="1" x14ac:dyDescent="0.35">
      <c r="B850" s="3"/>
    </row>
    <row r="851" spans="2:2" ht="14.25" customHeight="1" x14ac:dyDescent="0.35">
      <c r="B851" s="3"/>
    </row>
    <row r="852" spans="2:2" ht="14.25" customHeight="1" x14ac:dyDescent="0.35">
      <c r="B852" s="3"/>
    </row>
    <row r="853" spans="2:2" ht="14.25" customHeight="1" x14ac:dyDescent="0.35">
      <c r="B853" s="3"/>
    </row>
    <row r="854" spans="2:2" ht="14.25" customHeight="1" x14ac:dyDescent="0.35">
      <c r="B854" s="3"/>
    </row>
    <row r="855" spans="2:2" ht="14.25" customHeight="1" x14ac:dyDescent="0.35">
      <c r="B855" s="3"/>
    </row>
    <row r="856" spans="2:2" ht="14.25" customHeight="1" x14ac:dyDescent="0.35">
      <c r="B856" s="3"/>
    </row>
    <row r="857" spans="2:2" ht="14.25" customHeight="1" x14ac:dyDescent="0.35">
      <c r="B857" s="3"/>
    </row>
    <row r="858" spans="2:2" ht="14.25" customHeight="1" x14ac:dyDescent="0.35">
      <c r="B858" s="3"/>
    </row>
    <row r="859" spans="2:2" ht="14.25" customHeight="1" x14ac:dyDescent="0.35">
      <c r="B859" s="3"/>
    </row>
    <row r="860" spans="2:2" ht="14.25" customHeight="1" x14ac:dyDescent="0.35">
      <c r="B860" s="3"/>
    </row>
    <row r="861" spans="2:2" ht="14.25" customHeight="1" x14ac:dyDescent="0.35">
      <c r="B861" s="3"/>
    </row>
    <row r="862" spans="2:2" ht="14.25" customHeight="1" x14ac:dyDescent="0.35">
      <c r="B862" s="3"/>
    </row>
    <row r="863" spans="2:2" ht="14.25" customHeight="1" x14ac:dyDescent="0.35">
      <c r="B863" s="3"/>
    </row>
    <row r="864" spans="2:2" ht="14.25" customHeight="1" x14ac:dyDescent="0.35">
      <c r="B864" s="3"/>
    </row>
    <row r="865" spans="2:2" ht="14.25" customHeight="1" x14ac:dyDescent="0.35">
      <c r="B865" s="3"/>
    </row>
    <row r="866" spans="2:2" ht="14.25" customHeight="1" x14ac:dyDescent="0.35">
      <c r="B866" s="3"/>
    </row>
    <row r="867" spans="2:2" ht="14.25" customHeight="1" x14ac:dyDescent="0.35">
      <c r="B867" s="3"/>
    </row>
    <row r="868" spans="2:2" ht="14.25" customHeight="1" x14ac:dyDescent="0.35">
      <c r="B868" s="3"/>
    </row>
    <row r="869" spans="2:2" ht="14.25" customHeight="1" x14ac:dyDescent="0.35">
      <c r="B869" s="3"/>
    </row>
    <row r="870" spans="2:2" ht="14.25" customHeight="1" x14ac:dyDescent="0.35">
      <c r="B870" s="3"/>
    </row>
    <row r="871" spans="2:2" ht="14.25" customHeight="1" x14ac:dyDescent="0.35">
      <c r="B871" s="3"/>
    </row>
    <row r="872" spans="2:2" ht="14.25" customHeight="1" x14ac:dyDescent="0.35">
      <c r="B872" s="3"/>
    </row>
    <row r="873" spans="2:2" ht="14.25" customHeight="1" x14ac:dyDescent="0.35">
      <c r="B873" s="3"/>
    </row>
    <row r="874" spans="2:2" ht="14.25" customHeight="1" x14ac:dyDescent="0.35">
      <c r="B874" s="3"/>
    </row>
    <row r="875" spans="2:2" ht="14.25" customHeight="1" x14ac:dyDescent="0.35">
      <c r="B875" s="3"/>
    </row>
    <row r="876" spans="2:2" ht="14.25" customHeight="1" x14ac:dyDescent="0.35">
      <c r="B876" s="3"/>
    </row>
    <row r="877" spans="2:2" ht="14.25" customHeight="1" x14ac:dyDescent="0.35">
      <c r="B877" s="3"/>
    </row>
    <row r="878" spans="2:2" ht="14.25" customHeight="1" x14ac:dyDescent="0.35">
      <c r="B878" s="3"/>
    </row>
    <row r="879" spans="2:2" ht="14.25" customHeight="1" x14ac:dyDescent="0.35">
      <c r="B879" s="3"/>
    </row>
    <row r="880" spans="2:2" ht="14.25" customHeight="1" x14ac:dyDescent="0.35">
      <c r="B880" s="3"/>
    </row>
    <row r="881" spans="2:2" ht="14.25" customHeight="1" x14ac:dyDescent="0.35">
      <c r="B881" s="3"/>
    </row>
    <row r="882" spans="2:2" ht="14.25" customHeight="1" x14ac:dyDescent="0.35">
      <c r="B882" s="3"/>
    </row>
    <row r="883" spans="2:2" ht="14.25" customHeight="1" x14ac:dyDescent="0.35">
      <c r="B883" s="3"/>
    </row>
    <row r="884" spans="2:2" ht="14.25" customHeight="1" x14ac:dyDescent="0.35">
      <c r="B884" s="3"/>
    </row>
    <row r="885" spans="2:2" ht="14.25" customHeight="1" x14ac:dyDescent="0.35">
      <c r="B885" s="3"/>
    </row>
    <row r="886" spans="2:2" ht="14.25" customHeight="1" x14ac:dyDescent="0.35">
      <c r="B886" s="3"/>
    </row>
    <row r="887" spans="2:2" ht="14.25" customHeight="1" x14ac:dyDescent="0.35">
      <c r="B887" s="3"/>
    </row>
    <row r="888" spans="2:2" ht="14.25" customHeight="1" x14ac:dyDescent="0.35">
      <c r="B888" s="3"/>
    </row>
    <row r="889" spans="2:2" ht="14.25" customHeight="1" x14ac:dyDescent="0.35">
      <c r="B889" s="3"/>
    </row>
    <row r="890" spans="2:2" ht="14.25" customHeight="1" x14ac:dyDescent="0.35">
      <c r="B890" s="3"/>
    </row>
    <row r="891" spans="2:2" ht="14.25" customHeight="1" x14ac:dyDescent="0.35">
      <c r="B891" s="3"/>
    </row>
    <row r="892" spans="2:2" ht="14.25" customHeight="1" x14ac:dyDescent="0.35">
      <c r="B892" s="3"/>
    </row>
    <row r="893" spans="2:2" ht="14.25" customHeight="1" x14ac:dyDescent="0.35">
      <c r="B893" s="3"/>
    </row>
    <row r="894" spans="2:2" ht="14.25" customHeight="1" x14ac:dyDescent="0.35">
      <c r="B894" s="3"/>
    </row>
    <row r="895" spans="2:2" ht="14.25" customHeight="1" x14ac:dyDescent="0.35">
      <c r="B895" s="3"/>
    </row>
    <row r="896" spans="2:2" ht="14.25" customHeight="1" x14ac:dyDescent="0.35">
      <c r="B896" s="3"/>
    </row>
    <row r="897" spans="2:2" ht="14.25" customHeight="1" x14ac:dyDescent="0.35">
      <c r="B897" s="3"/>
    </row>
    <row r="898" spans="2:2" ht="14.25" customHeight="1" x14ac:dyDescent="0.35">
      <c r="B898" s="3"/>
    </row>
    <row r="899" spans="2:2" ht="14.25" customHeight="1" x14ac:dyDescent="0.35">
      <c r="B899" s="3"/>
    </row>
    <row r="900" spans="2:2" ht="14.25" customHeight="1" x14ac:dyDescent="0.35">
      <c r="B900" s="3"/>
    </row>
    <row r="901" spans="2:2" ht="14.25" customHeight="1" x14ac:dyDescent="0.35">
      <c r="B901" s="3"/>
    </row>
    <row r="902" spans="2:2" ht="14.25" customHeight="1" x14ac:dyDescent="0.35">
      <c r="B902" s="3"/>
    </row>
    <row r="903" spans="2:2" ht="14.25" customHeight="1" x14ac:dyDescent="0.35">
      <c r="B903" s="3"/>
    </row>
    <row r="904" spans="2:2" ht="14.25" customHeight="1" x14ac:dyDescent="0.35">
      <c r="B904" s="3"/>
    </row>
    <row r="905" spans="2:2" ht="14.25" customHeight="1" x14ac:dyDescent="0.35">
      <c r="B905" s="3"/>
    </row>
    <row r="906" spans="2:2" ht="14.25" customHeight="1" x14ac:dyDescent="0.35">
      <c r="B906" s="3"/>
    </row>
    <row r="907" spans="2:2" ht="14.25" customHeight="1" x14ac:dyDescent="0.35">
      <c r="B907" s="3"/>
    </row>
    <row r="908" spans="2:2" ht="14.25" customHeight="1" x14ac:dyDescent="0.35">
      <c r="B908" s="3"/>
    </row>
    <row r="909" spans="2:2" ht="14.25" customHeight="1" x14ac:dyDescent="0.35">
      <c r="B909" s="3"/>
    </row>
    <row r="910" spans="2:2" ht="14.25" customHeight="1" x14ac:dyDescent="0.35">
      <c r="B910" s="3"/>
    </row>
    <row r="911" spans="2:2" ht="14.25" customHeight="1" x14ac:dyDescent="0.35">
      <c r="B911" s="3"/>
    </row>
    <row r="912" spans="2:2" ht="14.25" customHeight="1" x14ac:dyDescent="0.35">
      <c r="B912" s="3"/>
    </row>
    <row r="913" spans="2:2" ht="14.25" customHeight="1" x14ac:dyDescent="0.35">
      <c r="B913" s="3"/>
    </row>
    <row r="914" spans="2:2" ht="14.25" customHeight="1" x14ac:dyDescent="0.35">
      <c r="B914" s="3"/>
    </row>
    <row r="915" spans="2:2" ht="14.25" customHeight="1" x14ac:dyDescent="0.35">
      <c r="B915" s="3"/>
    </row>
    <row r="916" spans="2:2" ht="14.25" customHeight="1" x14ac:dyDescent="0.35">
      <c r="B916" s="3"/>
    </row>
    <row r="917" spans="2:2" ht="14.25" customHeight="1" x14ac:dyDescent="0.35">
      <c r="B917" s="3"/>
    </row>
    <row r="918" spans="2:2" ht="14.25" customHeight="1" x14ac:dyDescent="0.35">
      <c r="B918" s="3"/>
    </row>
    <row r="919" spans="2:2" ht="14.25" customHeight="1" x14ac:dyDescent="0.35">
      <c r="B919" s="3"/>
    </row>
    <row r="920" spans="2:2" ht="14.25" customHeight="1" x14ac:dyDescent="0.35">
      <c r="B920" s="3"/>
    </row>
    <row r="921" spans="2:2" ht="14.25" customHeight="1" x14ac:dyDescent="0.35">
      <c r="B921" s="3"/>
    </row>
    <row r="922" spans="2:2" ht="14.25" customHeight="1" x14ac:dyDescent="0.35">
      <c r="B922" s="3"/>
    </row>
    <row r="923" spans="2:2" ht="14.25" customHeight="1" x14ac:dyDescent="0.35">
      <c r="B923" s="3"/>
    </row>
    <row r="924" spans="2:2" ht="14.25" customHeight="1" x14ac:dyDescent="0.35">
      <c r="B924" s="3"/>
    </row>
    <row r="925" spans="2:2" ht="14.25" customHeight="1" x14ac:dyDescent="0.35">
      <c r="B925" s="3"/>
    </row>
    <row r="926" spans="2:2" ht="14.25" customHeight="1" x14ac:dyDescent="0.35">
      <c r="B926" s="3"/>
    </row>
    <row r="927" spans="2:2" ht="14.25" customHeight="1" x14ac:dyDescent="0.35">
      <c r="B927" s="3"/>
    </row>
    <row r="928" spans="2:2" ht="14.25" customHeight="1" x14ac:dyDescent="0.35">
      <c r="B928" s="3"/>
    </row>
    <row r="929" spans="2:2" ht="14.25" customHeight="1" x14ac:dyDescent="0.35">
      <c r="B929" s="3"/>
    </row>
    <row r="930" spans="2:2" ht="14.25" customHeight="1" x14ac:dyDescent="0.35">
      <c r="B930" s="3"/>
    </row>
    <row r="931" spans="2:2" ht="14.25" customHeight="1" x14ac:dyDescent="0.35">
      <c r="B931" s="3"/>
    </row>
    <row r="932" spans="2:2" ht="14.25" customHeight="1" x14ac:dyDescent="0.35">
      <c r="B932" s="3"/>
    </row>
    <row r="933" spans="2:2" ht="14.25" customHeight="1" x14ac:dyDescent="0.35">
      <c r="B933" s="3"/>
    </row>
    <row r="934" spans="2:2" ht="14.25" customHeight="1" x14ac:dyDescent="0.35">
      <c r="B934" s="3"/>
    </row>
    <row r="935" spans="2:2" ht="14.25" customHeight="1" x14ac:dyDescent="0.35">
      <c r="B935" s="3"/>
    </row>
    <row r="936" spans="2:2" ht="14.25" customHeight="1" x14ac:dyDescent="0.35">
      <c r="B936" s="3"/>
    </row>
    <row r="937" spans="2:2" ht="14.25" customHeight="1" x14ac:dyDescent="0.35">
      <c r="B937" s="3"/>
    </row>
    <row r="938" spans="2:2" ht="14.25" customHeight="1" x14ac:dyDescent="0.35">
      <c r="B938" s="3"/>
    </row>
    <row r="939" spans="2:2" ht="14.25" customHeight="1" x14ac:dyDescent="0.35">
      <c r="B939" s="3"/>
    </row>
    <row r="940" spans="2:2" ht="14.25" customHeight="1" x14ac:dyDescent="0.35">
      <c r="B940" s="3"/>
    </row>
    <row r="941" spans="2:2" ht="14.25" customHeight="1" x14ac:dyDescent="0.35">
      <c r="B941" s="3"/>
    </row>
    <row r="942" spans="2:2" ht="14.25" customHeight="1" x14ac:dyDescent="0.35">
      <c r="B942" s="3"/>
    </row>
    <row r="943" spans="2:2" ht="14.25" customHeight="1" x14ac:dyDescent="0.35">
      <c r="B943" s="3"/>
    </row>
    <row r="944" spans="2:2" ht="14.25" customHeight="1" x14ac:dyDescent="0.35">
      <c r="B944" s="3"/>
    </row>
    <row r="945" spans="2:2" ht="14.25" customHeight="1" x14ac:dyDescent="0.35">
      <c r="B945" s="3"/>
    </row>
    <row r="946" spans="2:2" ht="14.25" customHeight="1" x14ac:dyDescent="0.35">
      <c r="B946" s="3"/>
    </row>
    <row r="947" spans="2:2" ht="14.25" customHeight="1" x14ac:dyDescent="0.35">
      <c r="B947" s="3"/>
    </row>
    <row r="948" spans="2:2" ht="14.25" customHeight="1" x14ac:dyDescent="0.35">
      <c r="B948" s="3"/>
    </row>
    <row r="949" spans="2:2" ht="14.25" customHeight="1" x14ac:dyDescent="0.35">
      <c r="B949" s="3"/>
    </row>
    <row r="950" spans="2:2" ht="14.25" customHeight="1" x14ac:dyDescent="0.35">
      <c r="B950" s="3"/>
    </row>
    <row r="951" spans="2:2" ht="14.25" customHeight="1" x14ac:dyDescent="0.35">
      <c r="B951" s="3"/>
    </row>
    <row r="952" spans="2:2" ht="14.25" customHeight="1" x14ac:dyDescent="0.35">
      <c r="B952" s="3"/>
    </row>
    <row r="953" spans="2:2" ht="14.25" customHeight="1" x14ac:dyDescent="0.35">
      <c r="B953" s="3"/>
    </row>
    <row r="954" spans="2:2" ht="14.25" customHeight="1" x14ac:dyDescent="0.35">
      <c r="B954" s="3"/>
    </row>
    <row r="955" spans="2:2" ht="14.25" customHeight="1" x14ac:dyDescent="0.35">
      <c r="B955" s="3"/>
    </row>
    <row r="956" spans="2:2" ht="14.25" customHeight="1" x14ac:dyDescent="0.35">
      <c r="B956" s="3"/>
    </row>
    <row r="957" spans="2:2" ht="14.25" customHeight="1" x14ac:dyDescent="0.35">
      <c r="B957" s="3"/>
    </row>
    <row r="958" spans="2:2" ht="14.25" customHeight="1" x14ac:dyDescent="0.35">
      <c r="B958" s="3"/>
    </row>
    <row r="959" spans="2:2" ht="14.25" customHeight="1" x14ac:dyDescent="0.35">
      <c r="B959" s="3"/>
    </row>
    <row r="960" spans="2:2" ht="14.25" customHeight="1" x14ac:dyDescent="0.35">
      <c r="B960" s="3"/>
    </row>
    <row r="961" spans="2:2" ht="14.25" customHeight="1" x14ac:dyDescent="0.35">
      <c r="B961" s="3"/>
    </row>
    <row r="962" spans="2:2" ht="14.25" customHeight="1" x14ac:dyDescent="0.35">
      <c r="B962" s="3"/>
    </row>
    <row r="963" spans="2:2" ht="14.25" customHeight="1" x14ac:dyDescent="0.35">
      <c r="B963" s="3"/>
    </row>
    <row r="964" spans="2:2" ht="14.25" customHeight="1" x14ac:dyDescent="0.35">
      <c r="B964" s="3"/>
    </row>
    <row r="965" spans="2:2" ht="14.25" customHeight="1" x14ac:dyDescent="0.35">
      <c r="B965" s="3"/>
    </row>
    <row r="966" spans="2:2" ht="14.25" customHeight="1" x14ac:dyDescent="0.35">
      <c r="B966" s="3"/>
    </row>
    <row r="967" spans="2:2" ht="14.25" customHeight="1" x14ac:dyDescent="0.35">
      <c r="B967" s="3"/>
    </row>
    <row r="968" spans="2:2" ht="14.25" customHeight="1" x14ac:dyDescent="0.35">
      <c r="B968" s="3"/>
    </row>
    <row r="969" spans="2:2" ht="14.25" customHeight="1" x14ac:dyDescent="0.35">
      <c r="B969" s="3"/>
    </row>
    <row r="970" spans="2:2" ht="14.25" customHeight="1" x14ac:dyDescent="0.35">
      <c r="B970" s="3"/>
    </row>
    <row r="971" spans="2:2" ht="14.25" customHeight="1" x14ac:dyDescent="0.35">
      <c r="B971" s="3"/>
    </row>
    <row r="972" spans="2:2" ht="14.25" customHeight="1" x14ac:dyDescent="0.35">
      <c r="B972" s="3"/>
    </row>
    <row r="973" spans="2:2" ht="14.25" customHeight="1" x14ac:dyDescent="0.35">
      <c r="B973" s="3"/>
    </row>
    <row r="974" spans="2:2" ht="14.25" customHeight="1" x14ac:dyDescent="0.35">
      <c r="B974" s="3"/>
    </row>
    <row r="975" spans="2:2" ht="14.25" customHeight="1" x14ac:dyDescent="0.35">
      <c r="B975" s="3"/>
    </row>
    <row r="976" spans="2:2" ht="14.25" customHeight="1" x14ac:dyDescent="0.35">
      <c r="B976" s="3"/>
    </row>
    <row r="977" spans="2:2" ht="14.25" customHeight="1" x14ac:dyDescent="0.35">
      <c r="B977" s="3"/>
    </row>
    <row r="978" spans="2:2" ht="14.25" customHeight="1" x14ac:dyDescent="0.35">
      <c r="B978" s="3"/>
    </row>
    <row r="979" spans="2:2" ht="14.25" customHeight="1" x14ac:dyDescent="0.35">
      <c r="B979" s="3"/>
    </row>
    <row r="980" spans="2:2" ht="14.25" customHeight="1" x14ac:dyDescent="0.35">
      <c r="B980" s="3"/>
    </row>
    <row r="981" spans="2:2" ht="14.25" customHeight="1" x14ac:dyDescent="0.35">
      <c r="B981" s="3"/>
    </row>
    <row r="982" spans="2:2" ht="14.25" customHeight="1" x14ac:dyDescent="0.35">
      <c r="B982" s="3"/>
    </row>
    <row r="983" spans="2:2" ht="14.25" customHeight="1" x14ac:dyDescent="0.35">
      <c r="B983" s="3"/>
    </row>
    <row r="984" spans="2:2" ht="14.25" customHeight="1" x14ac:dyDescent="0.35">
      <c r="B984" s="3"/>
    </row>
    <row r="985" spans="2:2" ht="14.25" customHeight="1" x14ac:dyDescent="0.35">
      <c r="B985" s="3"/>
    </row>
    <row r="986" spans="2:2" ht="14.25" customHeight="1" x14ac:dyDescent="0.35">
      <c r="B986" s="3"/>
    </row>
  </sheetData>
  <mergeCells count="15">
    <mergeCell ref="B32:AA32"/>
    <mergeCell ref="B29:I29"/>
    <mergeCell ref="O29:AC29"/>
    <mergeCell ref="X4:AB4"/>
    <mergeCell ref="O26:AK28"/>
    <mergeCell ref="V4:W4"/>
    <mergeCell ref="K29:M29"/>
    <mergeCell ref="B31:AA31"/>
    <mergeCell ref="AE29:AI29"/>
    <mergeCell ref="V5:W5"/>
    <mergeCell ref="B8:B15"/>
    <mergeCell ref="X5:AB5"/>
    <mergeCell ref="B26:M28"/>
    <mergeCell ref="B5:U5"/>
    <mergeCell ref="B16:B22"/>
  </mergeCells>
  <conditionalFormatting sqref="D7:AG14">
    <cfRule type="expression" dxfId="0" priority="2">
      <formula>COUNTIF(D$7:D$14, "ቅዳሜ") + COUNTIF(D$7:D$14, "እሁድ") &gt; 0</formula>
    </cfRule>
  </conditionalFormatting>
  <dataValidations disablePrompts="1" count="2">
    <dataValidation type="list" allowBlank="1" sqref="X4" xr:uid="{00000000-0002-0000-0000-000000000000}">
      <formula1>$AT$45:$AT$57</formula1>
    </dataValidation>
    <dataValidation type="list" allowBlank="1" sqref="X5" xr:uid="{00000000-0002-0000-0000-000001000000}">
      <formula1>$AV$45:$AV$55</formula1>
    </dataValidation>
  </dataValidations>
  <pageMargins left="0.30972222222222201" right="0.17013888888888901" top="0.75" bottom="0.75" header="0.511811023622047" footer="0.511811023622047"/>
  <pageSetup paperSize="9" scale="5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EMPLOYEE_MONTHLY_TIMESHEET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Timesheet</dc:title>
  <dc:creator>Michael</dc:creator>
  <cp:lastModifiedBy>Michael K. Teferra</cp:lastModifiedBy>
  <cp:revision>5</cp:revision>
  <dcterms:created xsi:type="dcterms:W3CDTF">2021-03-19T09:47:05Z</dcterms:created>
  <dcterms:modified xsi:type="dcterms:W3CDTF">2025-11-08T20:46:18Z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14a8c0f7-7088-4b99-9d9d-c4dc450c4f8b</vt:lpwstr>
  </property>
</Properties>
</file>